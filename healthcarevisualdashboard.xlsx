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mc:AlternateContent xmlns:mc="http://schemas.openxmlformats.org/markup-compatibility/2006">
    <mc:Choice Requires="x15">
      <x15ac:absPath xmlns:x15ac="http://schemas.microsoft.com/office/spreadsheetml/2010/11/ac" url="/Users/kw/Desktop/Portfolio2026/healthcare/"/>
    </mc:Choice>
  </mc:AlternateContent>
  <xr:revisionPtr revIDLastSave="0" documentId="13_ncr:1_{11CF04E5-A591-954A-AB9B-783C762C8155}" xr6:coauthVersionLast="47" xr6:coauthVersionMax="47" xr10:uidLastSave="{00000000-0000-0000-0000-000000000000}"/>
  <bookViews>
    <workbookView xWindow="580" yWindow="500" windowWidth="25460" windowHeight="16080" activeTab="3" xr2:uid="{80063A6E-B496-D947-A8E6-1C483D8CA4EC}"/>
  </bookViews>
  <sheets>
    <sheet name="AverageInsuranceCost" sheetId="2" r:id="rId1"/>
    <sheet name="MedicalCondtions" sheetId="1" r:id="rId2"/>
    <sheet name="insuravgcost" sheetId="4" r:id="rId3"/>
    <sheet name="medcodresults" sheetId="3" r:id="rId4"/>
  </sheets>
  <definedNames>
    <definedName name="_xlnm._FilterDatabase" localSheetId="2" hidden="1">insuravgcost!$E$1:$E$21</definedName>
    <definedName name="Slicer_insurance">#N/A</definedName>
    <definedName name="Slicer_medicalcondition">#N/A</definedName>
    <definedName name="Slicer_quarter">#N/A</definedName>
  </definedNames>
  <calcPr calcId="191029"/>
  <pivotCaches>
    <pivotCache cacheId="0" r:id="rId5"/>
    <pivotCache cacheId="1" r:id="rId6"/>
    <pivotCache cacheId="2"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3" l="1"/>
</calcChain>
</file>

<file path=xl/sharedStrings.xml><?xml version="1.0" encoding="utf-8"?>
<sst xmlns="http://schemas.openxmlformats.org/spreadsheetml/2006/main" count="139" uniqueCount="39">
  <si>
    <t>gender</t>
  </si>
  <si>
    <t>total patients</t>
  </si>
  <si>
    <t>average age</t>
  </si>
  <si>
    <t>positive results</t>
  </si>
  <si>
    <t>Arthritis</t>
  </si>
  <si>
    <t>Female</t>
  </si>
  <si>
    <t>Male</t>
  </si>
  <si>
    <t>Asthma</t>
  </si>
  <si>
    <t>Cancer</t>
  </si>
  <si>
    <t>Diabetes</t>
  </si>
  <si>
    <t>Hypertension</t>
  </si>
  <si>
    <t>Obesity</t>
  </si>
  <si>
    <t>Row Labels</t>
  </si>
  <si>
    <t>Grand Total</t>
  </si>
  <si>
    <t>Sum of positive results</t>
  </si>
  <si>
    <t>Sum of total patients</t>
  </si>
  <si>
    <t>insurance</t>
  </si>
  <si>
    <t>quarter</t>
  </si>
  <si>
    <t>total visits</t>
  </si>
  <si>
    <t>average cost</t>
  </si>
  <si>
    <t>total cost</t>
  </si>
  <si>
    <t>Aetna</t>
  </si>
  <si>
    <t>Blue Cross</t>
  </si>
  <si>
    <t>Cigna</t>
  </si>
  <si>
    <t>Medicare</t>
  </si>
  <si>
    <t>UnitedHealthcare</t>
  </si>
  <si>
    <t>Sum of average cost</t>
  </si>
  <si>
    <t>Column Labels</t>
  </si>
  <si>
    <t>Jan</t>
  </si>
  <si>
    <t>1-Jan</t>
  </si>
  <si>
    <t>Apr</t>
  </si>
  <si>
    <t>1-Apr</t>
  </si>
  <si>
    <t>Jul</t>
  </si>
  <si>
    <t>1-Jul</t>
  </si>
  <si>
    <t>Oct</t>
  </si>
  <si>
    <t>1-Oct</t>
  </si>
  <si>
    <t>Sum of total cost</t>
  </si>
  <si>
    <t>Sum of total visits</t>
  </si>
  <si>
    <t>medical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</si>
</sst>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00"/>
    <numFmt numFmtId="166" formatCode="mm/dd/yy;@"/>
  </numFmts>
  <fonts count="2" x14ac:knownFonts="1">
    <font>
      <sz val="12"/>
      <color theme="1"/>
      <name val="Aptos Narrow"/>
      <family val="2"/>
      <scheme val="minor"/>
    </font>
    <font>
      <sz val="12"/>
      <color theme="1"/>
      <name val="Tisa Offc Serif Pro"/>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0" fillId="2" borderId="0" xfId="0" applyFill="1"/>
    <xf numFmtId="0" fontId="1" fillId="2" borderId="0" xfId="0" applyFont="1" applyFill="1"/>
    <xf numFmtId="2" fontId="0" fillId="0" borderId="0" xfId="0" applyNumberFormat="1"/>
    <xf numFmtId="164" fontId="0" fillId="0" borderId="0" xfId="0" applyNumberFormat="1" applyAlignment="1">
      <alignment horizontal="left" indent="2"/>
    </xf>
    <xf numFmtId="0" fontId="0" fillId="0" borderId="0" xfId="0" applyAlignment="1">
      <alignment horizontal="left" indent="3"/>
    </xf>
    <xf numFmtId="166" fontId="0" fillId="0" borderId="0" xfId="0" pivotButton="1" applyNumberFormat="1"/>
    <xf numFmtId="166" fontId="0" fillId="0" borderId="0" xfId="0" applyNumberFormat="1" applyAlignment="1">
      <alignment horizontal="left"/>
    </xf>
    <xf numFmtId="166" fontId="0" fillId="0" borderId="0" xfId="0" applyNumberFormat="1" applyAlignment="1">
      <alignment horizontal="left" indent="1"/>
    </xf>
    <xf numFmtId="166" fontId="0" fillId="0" borderId="0" xfId="0" applyNumberFormat="1" applyAlignment="1">
      <alignment horizontal="left" indent="2"/>
    </xf>
    <xf numFmtId="0" fontId="0" fillId="0" borderId="0" xfId="0" applyNumberFormat="1"/>
  </cellXfs>
  <cellStyles count="1">
    <cellStyle name="Normal" xfId="0" builtinId="0"/>
  </cellStyles>
  <dxfs count="10">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
      <numFmt numFmtId="166" formatCode="mm/d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[healthcarevisualdashboard.xlsx]insuravgcost!PivotTable9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insuravgcost!$M$25:$M$26</c:f>
              <c:strCache>
                <c:ptCount val="1"/>
                <c:pt idx="0">
                  <c:v>Aetna</c:v>
                </c:pt>
              </c:strCache>
            </c:strRef>
          </c:tx>
          <c:spPr>
            <a:solidFill>
              <a:schemeClr val="accent1"/>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insuravgcost!$M$27:$M$39</c:f>
              <c:numCache>
                <c:formatCode>General</c:formatCode>
                <c:ptCount val="4"/>
                <c:pt idx="0">
                  <c:v>25023.27</c:v>
                </c:pt>
                <c:pt idx="1">
                  <c:v>25401.72</c:v>
                </c:pt>
                <c:pt idx="2">
                  <c:v>24971.73</c:v>
                </c:pt>
                <c:pt idx="3">
                  <c:v>25310.19</c:v>
                </c:pt>
              </c:numCache>
            </c:numRef>
          </c:val>
          <c:extLst>
            <c:ext xmlns:c16="http://schemas.microsoft.com/office/drawing/2014/chart" uri="{C3380CC4-5D6E-409C-BE32-E72D297353CC}">
              <c16:uniqueId val="{00000000-00D7-164A-A4D2-9BBE5B156D2C}"/>
            </c:ext>
          </c:extLst>
        </c:ser>
        <c:ser>
          <c:idx val="1"/>
          <c:order val="1"/>
          <c:tx>
            <c:strRef>
              <c:f>insuravgcost!$N$25:$N$26</c:f>
              <c:strCache>
                <c:ptCount val="1"/>
                <c:pt idx="0">
                  <c:v>Blue Cross</c:v>
                </c:pt>
              </c:strCache>
            </c:strRef>
          </c:tx>
          <c:spPr>
            <a:solidFill>
              <a:schemeClr val="accent2"/>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insuravgcost!$N$27:$N$39</c:f>
              <c:numCache>
                <c:formatCode>General</c:formatCode>
                <c:ptCount val="4"/>
                <c:pt idx="0">
                  <c:v>25842.85</c:v>
                </c:pt>
                <c:pt idx="1">
                  <c:v>25595.81</c:v>
                </c:pt>
                <c:pt idx="2">
                  <c:v>25491.08</c:v>
                </c:pt>
                <c:pt idx="3">
                  <c:v>26314.880000000001</c:v>
                </c:pt>
              </c:numCache>
            </c:numRef>
          </c:val>
          <c:extLst>
            <c:ext xmlns:c16="http://schemas.microsoft.com/office/drawing/2014/chart" uri="{C3380CC4-5D6E-409C-BE32-E72D297353CC}">
              <c16:uniqueId val="{00000006-00D7-164A-A4D2-9BBE5B156D2C}"/>
            </c:ext>
          </c:extLst>
        </c:ser>
        <c:ser>
          <c:idx val="2"/>
          <c:order val="2"/>
          <c:tx>
            <c:strRef>
              <c:f>insuravgcost!$O$25:$O$26</c:f>
              <c:strCache>
                <c:ptCount val="1"/>
                <c:pt idx="0">
                  <c:v>Cigna</c:v>
                </c:pt>
              </c:strCache>
            </c:strRef>
          </c:tx>
          <c:spPr>
            <a:solidFill>
              <a:schemeClr val="accent3"/>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insuravgcost!$O$27:$O$39</c:f>
              <c:numCache>
                <c:formatCode>General</c:formatCode>
                <c:ptCount val="4"/>
                <c:pt idx="0">
                  <c:v>25203.13</c:v>
                </c:pt>
                <c:pt idx="1">
                  <c:v>26368.29</c:v>
                </c:pt>
                <c:pt idx="2">
                  <c:v>25131.599999999999</c:v>
                </c:pt>
                <c:pt idx="3">
                  <c:v>25335.25</c:v>
                </c:pt>
              </c:numCache>
            </c:numRef>
          </c:val>
          <c:extLst>
            <c:ext xmlns:c16="http://schemas.microsoft.com/office/drawing/2014/chart" uri="{C3380CC4-5D6E-409C-BE32-E72D297353CC}">
              <c16:uniqueId val="{00000007-00D7-164A-A4D2-9BBE5B156D2C}"/>
            </c:ext>
          </c:extLst>
        </c:ser>
        <c:ser>
          <c:idx val="3"/>
          <c:order val="3"/>
          <c:tx>
            <c:strRef>
              <c:f>insuravgcost!$P$25:$P$26</c:f>
              <c:strCache>
                <c:ptCount val="1"/>
                <c:pt idx="0">
                  <c:v>Medicare</c:v>
                </c:pt>
              </c:strCache>
            </c:strRef>
          </c:tx>
          <c:spPr>
            <a:solidFill>
              <a:schemeClr val="accent4"/>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insuravgcost!$P$27:$P$39</c:f>
              <c:numCache>
                <c:formatCode>General</c:formatCode>
                <c:ptCount val="4"/>
                <c:pt idx="0">
                  <c:v>24836.5</c:v>
                </c:pt>
                <c:pt idx="1">
                  <c:v>25160.34</c:v>
                </c:pt>
                <c:pt idx="2">
                  <c:v>26569.19</c:v>
                </c:pt>
                <c:pt idx="3">
                  <c:v>26276.27</c:v>
                </c:pt>
              </c:numCache>
            </c:numRef>
          </c:val>
          <c:extLst>
            <c:ext xmlns:c16="http://schemas.microsoft.com/office/drawing/2014/chart" uri="{C3380CC4-5D6E-409C-BE32-E72D297353CC}">
              <c16:uniqueId val="{00000008-00D7-164A-A4D2-9BBE5B156D2C}"/>
            </c:ext>
          </c:extLst>
        </c:ser>
        <c:ser>
          <c:idx val="4"/>
          <c:order val="4"/>
          <c:tx>
            <c:strRef>
              <c:f>insuravgcost!$Q$25:$Q$26</c:f>
              <c:strCache>
                <c:ptCount val="1"/>
                <c:pt idx="0">
                  <c:v>UnitedHealthcare</c:v>
                </c:pt>
              </c:strCache>
            </c:strRef>
          </c:tx>
          <c:spPr>
            <a:solidFill>
              <a:schemeClr val="accent5"/>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insuravgcost!$Q$27:$Q$39</c:f>
              <c:numCache>
                <c:formatCode>General</c:formatCode>
                <c:ptCount val="4"/>
                <c:pt idx="0">
                  <c:v>25564.03</c:v>
                </c:pt>
                <c:pt idx="1">
                  <c:v>24671.78</c:v>
                </c:pt>
                <c:pt idx="2">
                  <c:v>25402.7</c:v>
                </c:pt>
                <c:pt idx="3">
                  <c:v>27047.23</c:v>
                </c:pt>
              </c:numCache>
            </c:numRef>
          </c:val>
          <c:extLst>
            <c:ext xmlns:c16="http://schemas.microsoft.com/office/drawing/2014/chart" uri="{C3380CC4-5D6E-409C-BE32-E72D297353CC}">
              <c16:uniqueId val="{00000009-00D7-164A-A4D2-9BBE5B156D2C}"/>
            </c:ext>
          </c:extLst>
        </c:ser>
        <c:dLbls>
          <c:showLegendKey val="0"/>
          <c:showVal val="0"/>
          <c:showCatName val="0"/>
          <c:showSerName val="0"/>
          <c:showPercent val="0"/>
          <c:showBubbleSize val="0"/>
        </c:dLbls>
        <c:gapWidth val="219"/>
        <c:overlap val="-27"/>
        <c:axId val="651966639"/>
        <c:axId val="534307311"/>
      </c:barChart>
      <c:catAx>
        <c:axId val="65196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34307311"/>
        <c:crosses val="autoZero"/>
        <c:auto val="1"/>
        <c:lblAlgn val="ctr"/>
        <c:lblOffset val="100"/>
        <c:noMultiLvlLbl val="0"/>
      </c:catAx>
      <c:valAx>
        <c:axId val="53430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519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[healthcarevisualdashboard.xlsx]medcodresults!PivotTable2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Female</a:t>
            </a:r>
            <a:r>
              <a:rPr lang="en-US" baseline="0"/>
              <a:t> and Male Diagnosis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50396022361553E-2"/>
          <c:y val="0.15875273018023245"/>
          <c:w val="0.88601944032043289"/>
          <c:h val="0.69575594964119414"/>
        </c:manualLayout>
      </c:layout>
      <c:barChart>
        <c:barDir val="col"/>
        <c:grouping val="clustered"/>
        <c:varyColors val="0"/>
        <c:ser>
          <c:idx val="0"/>
          <c:order val="0"/>
          <c:tx>
            <c:strRef>
              <c:f>medcodresults!$K$1</c:f>
              <c:strCache>
                <c:ptCount val="1"/>
                <c:pt idx="0">
                  <c:v>Total</c:v>
                </c:pt>
              </c:strCache>
            </c:strRef>
          </c:tx>
          <c:spPr>
            <a:solidFill>
              <a:schemeClr val="accent1"/>
            </a:solidFill>
            <a:ln>
              <a:noFill/>
            </a:ln>
            <a:effectLst/>
          </c:spPr>
          <c:invertIfNegative val="0"/>
          <c:cat>
            <c:multiLvlStrRef>
              <c:f>medcodresults!$J$2:$J$16</c:f>
              <c:multiLvlStrCache>
                <c:ptCount val="12"/>
                <c:lvl>
                  <c:pt idx="0">
                    <c:v>Arthritis</c:v>
                  </c:pt>
                  <c:pt idx="1">
                    <c:v>Asthma</c:v>
                  </c:pt>
                  <c:pt idx="2">
                    <c:v>Cancer</c:v>
                  </c:pt>
                  <c:pt idx="3">
                    <c:v>Diabetes</c:v>
                  </c:pt>
                  <c:pt idx="4">
                    <c:v>Hypertension</c:v>
                  </c:pt>
                  <c:pt idx="5">
                    <c:v>Obesity</c:v>
                  </c:pt>
                  <c:pt idx="6">
                    <c:v>Arthritis</c:v>
                  </c:pt>
                  <c:pt idx="7">
                    <c:v>Asthma</c:v>
                  </c:pt>
                  <c:pt idx="8">
                    <c:v>Cancer</c:v>
                  </c:pt>
                  <c:pt idx="9">
                    <c:v>Diabetes</c:v>
                  </c:pt>
                  <c:pt idx="10">
                    <c:v>Hypertension</c:v>
                  </c:pt>
                  <c:pt idx="11">
                    <c:v>Obesity</c:v>
                  </c:pt>
                </c:lvl>
                <c:lvl>
                  <c:pt idx="0">
                    <c:v>Female</c:v>
                  </c:pt>
                  <c:pt idx="6">
                    <c:v>Male</c:v>
                  </c:pt>
                </c:lvl>
              </c:multiLvlStrCache>
            </c:multiLvlStrRef>
          </c:cat>
          <c:val>
            <c:numRef>
              <c:f>medcodresults!$K$2:$K$16</c:f>
              <c:numCache>
                <c:formatCode>General</c:formatCode>
                <c:ptCount val="12"/>
                <c:pt idx="0">
                  <c:v>34.037558685446001</c:v>
                </c:pt>
                <c:pt idx="1">
                  <c:v>32.813529540962001</c:v>
                </c:pt>
                <c:pt idx="2">
                  <c:v>34.311169056931703</c:v>
                </c:pt>
                <c:pt idx="3">
                  <c:v>34.250698774457099</c:v>
                </c:pt>
                <c:pt idx="4">
                  <c:v>32.6973113616652</c:v>
                </c:pt>
                <c:pt idx="5">
                  <c:v>33.946343574210204</c:v>
                </c:pt>
                <c:pt idx="6">
                  <c:v>34.465599307658998</c:v>
                </c:pt>
                <c:pt idx="7">
                  <c:v>32.707253886010299</c:v>
                </c:pt>
                <c:pt idx="8">
                  <c:v>33.2756756756756</c:v>
                </c:pt>
                <c:pt idx="9">
                  <c:v>33.849129593810403</c:v>
                </c:pt>
                <c:pt idx="10">
                  <c:v>32.462767105547101</c:v>
                </c:pt>
                <c:pt idx="11">
                  <c:v>33.911911477543903</c:v>
                </c:pt>
              </c:numCache>
            </c:numRef>
          </c:val>
          <c:extLst>
            <c:ext xmlns:c16="http://schemas.microsoft.com/office/drawing/2014/chart" uri="{C3380CC4-5D6E-409C-BE32-E72D297353CC}">
              <c16:uniqueId val="{00000000-E12B-B84D-913D-A843B41CD5A5}"/>
            </c:ext>
          </c:extLst>
        </c:ser>
        <c:dLbls>
          <c:showLegendKey val="0"/>
          <c:showVal val="0"/>
          <c:showCatName val="0"/>
          <c:showSerName val="0"/>
          <c:showPercent val="0"/>
          <c:showBubbleSize val="0"/>
        </c:dLbls>
        <c:gapWidth val="219"/>
        <c:overlap val="-27"/>
        <c:axId val="477504399"/>
        <c:axId val="477966079"/>
      </c:barChart>
      <c:catAx>
        <c:axId val="4775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66079"/>
        <c:crosses val="autoZero"/>
        <c:auto val="1"/>
        <c:lblAlgn val="ctr"/>
        <c:lblOffset val="100"/>
        <c:noMultiLvlLbl val="0"/>
      </c:catAx>
      <c:valAx>
        <c:axId val="47796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5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[healthcarevisualdashboard.xlsx]insuravgcost!PivotTable6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insuravgcost!$J$1</c:f>
              <c:strCache>
                <c:ptCount val="1"/>
                <c:pt idx="0">
                  <c:v>Total</c:v>
                </c:pt>
              </c:strCache>
            </c:strRef>
          </c:tx>
          <c:spPr>
            <a:solidFill>
              <a:schemeClr val="accent1"/>
            </a:solidFill>
            <a:ln>
              <a:noFill/>
            </a:ln>
            <a:effectLst/>
          </c:spPr>
          <c:invertIfNegative val="0"/>
          <c:cat>
            <c:multiLvlStrRef>
              <c:f>insuravgcost!$I$2:$I$34</c:f>
              <c:multiLvlStrCache>
                <c:ptCount val="20"/>
                <c:lvl>
                  <c:pt idx="0">
                    <c:v>Aetna</c:v>
                  </c:pt>
                  <c:pt idx="1">
                    <c:v>Blue Cross</c:v>
                  </c:pt>
                  <c:pt idx="2">
                    <c:v>Cigna</c:v>
                  </c:pt>
                  <c:pt idx="3">
                    <c:v>Medicare</c:v>
                  </c:pt>
                  <c:pt idx="4">
                    <c:v>UnitedHealthcare</c:v>
                  </c:pt>
                  <c:pt idx="5">
                    <c:v>Aetna</c:v>
                  </c:pt>
                  <c:pt idx="6">
                    <c:v>Blue Cross</c:v>
                  </c:pt>
                  <c:pt idx="7">
                    <c:v>Cigna</c:v>
                  </c:pt>
                  <c:pt idx="8">
                    <c:v>Medicare</c:v>
                  </c:pt>
                  <c:pt idx="9">
                    <c:v>UnitedHealthcare</c:v>
                  </c:pt>
                  <c:pt idx="10">
                    <c:v>Aetna</c:v>
                  </c:pt>
                  <c:pt idx="11">
                    <c:v>Blue Cross</c:v>
                  </c:pt>
                  <c:pt idx="12">
                    <c:v>Cigna</c:v>
                  </c:pt>
                  <c:pt idx="13">
                    <c:v>Medicare</c:v>
                  </c:pt>
                  <c:pt idx="14">
                    <c:v>UnitedHealthcare</c:v>
                  </c:pt>
                  <c:pt idx="15">
                    <c:v>Aetna</c:v>
                  </c:pt>
                  <c:pt idx="16">
                    <c:v>Blue Cross</c:v>
                  </c:pt>
                  <c:pt idx="17">
                    <c:v>Cigna</c:v>
                  </c:pt>
                  <c:pt idx="18">
                    <c:v>Medicare</c:v>
                  </c:pt>
                  <c:pt idx="19">
                    <c:v>UnitedHealthcare</c:v>
                  </c:pt>
                </c:lvl>
                <c:lvl>
                  <c:pt idx="0">
                    <c:v>2023-01-01</c:v>
                  </c:pt>
                  <c:pt idx="5">
                    <c:v>2023-04-01</c:v>
                  </c:pt>
                  <c:pt idx="10">
                    <c:v>2023-07-01</c:v>
                  </c:pt>
                  <c:pt idx="15">
                    <c:v>2023-10-01</c:v>
                  </c:pt>
                </c:lvl>
                <c:lvl>
                  <c:pt idx="0">
                    <c:v>1-Jan</c:v>
                  </c:pt>
                  <c:pt idx="5">
                    <c:v>1-Apr</c:v>
                  </c:pt>
                  <c:pt idx="10">
                    <c:v>1-Jul</c:v>
                  </c:pt>
                  <c:pt idx="15">
                    <c:v>1-Oct</c:v>
                  </c:pt>
                </c:lvl>
                <c:lvl>
                  <c:pt idx="0">
                    <c:v>Jan</c:v>
                  </c:pt>
                  <c:pt idx="5">
                    <c:v>Apr</c:v>
                  </c:pt>
                  <c:pt idx="10">
                    <c:v>Jul</c:v>
                  </c:pt>
                  <c:pt idx="15">
                    <c:v>Oct</c:v>
                  </c:pt>
                </c:lvl>
              </c:multiLvlStrCache>
            </c:multiLvlStrRef>
          </c:cat>
          <c:val>
            <c:numRef>
              <c:f>insuravgcost!$J$2:$J$34</c:f>
              <c:numCache>
                <c:formatCode>General</c:formatCode>
                <c:ptCount val="20"/>
                <c:pt idx="0">
                  <c:v>25023267.399999999</c:v>
                </c:pt>
                <c:pt idx="1">
                  <c:v>26256338.260000002</c:v>
                </c:pt>
                <c:pt idx="2">
                  <c:v>29336447</c:v>
                </c:pt>
                <c:pt idx="3">
                  <c:v>28909683.620000001</c:v>
                </c:pt>
                <c:pt idx="4">
                  <c:v>28682837.940000001</c:v>
                </c:pt>
                <c:pt idx="5">
                  <c:v>28043499.780000001</c:v>
                </c:pt>
                <c:pt idx="6">
                  <c:v>29742325.52</c:v>
                </c:pt>
                <c:pt idx="7">
                  <c:v>27897652.739999998</c:v>
                </c:pt>
                <c:pt idx="8">
                  <c:v>29336960.16</c:v>
                </c:pt>
                <c:pt idx="9">
                  <c:v>26694870.620000001</c:v>
                </c:pt>
                <c:pt idx="10">
                  <c:v>25820770.219999999</c:v>
                </c:pt>
                <c:pt idx="11">
                  <c:v>27887246.600000001</c:v>
                </c:pt>
                <c:pt idx="12">
                  <c:v>30007130.199999999</c:v>
                </c:pt>
                <c:pt idx="13">
                  <c:v>30342018</c:v>
                </c:pt>
                <c:pt idx="14">
                  <c:v>29213109.420000002</c:v>
                </c:pt>
                <c:pt idx="15">
                  <c:v>26170734.359999999</c:v>
                </c:pt>
                <c:pt idx="16">
                  <c:v>27893770.559999999</c:v>
                </c:pt>
                <c:pt idx="17">
                  <c:v>28375482.579999998</c:v>
                </c:pt>
                <c:pt idx="18">
                  <c:v>27432423.699999999</c:v>
                </c:pt>
                <c:pt idx="19">
                  <c:v>30887936.48</c:v>
                </c:pt>
              </c:numCache>
            </c:numRef>
          </c:val>
          <c:extLst>
            <c:ext xmlns:c16="http://schemas.microsoft.com/office/drawing/2014/chart" uri="{C3380CC4-5D6E-409C-BE32-E72D297353CC}">
              <c16:uniqueId val="{00000000-EDA9-0546-8A78-03C82873AC74}"/>
            </c:ext>
          </c:extLst>
        </c:ser>
        <c:dLbls>
          <c:showLegendKey val="0"/>
          <c:showVal val="0"/>
          <c:showCatName val="0"/>
          <c:showSerName val="0"/>
          <c:showPercent val="0"/>
          <c:showBubbleSize val="0"/>
        </c:dLbls>
        <c:gapWidth val="219"/>
        <c:overlap val="-27"/>
        <c:axId val="652153567"/>
        <c:axId val="592626431"/>
      </c:barChart>
      <c:catAx>
        <c:axId val="65215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26431"/>
        <c:crosses val="autoZero"/>
        <c:auto val="1"/>
        <c:lblAlgn val="ctr"/>
        <c:lblOffset val="100"/>
        <c:noMultiLvlLbl val="0"/>
      </c:catAx>
      <c:valAx>
        <c:axId val="59262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5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[healthcarevisualdashboard.xlsx]insuravgcost!PivotTable9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insuravgcost!$M$25:$M$26</c:f>
              <c:strCache>
                <c:ptCount val="1"/>
                <c:pt idx="0">
                  <c:v>Aetna</c:v>
                </c:pt>
              </c:strCache>
            </c:strRef>
          </c:tx>
          <c:spPr>
            <a:solidFill>
              <a:schemeClr val="accent1"/>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insuravgcost!$M$27:$M$39</c:f>
              <c:numCache>
                <c:formatCode>General</c:formatCode>
                <c:ptCount val="4"/>
                <c:pt idx="0">
                  <c:v>25023.27</c:v>
                </c:pt>
                <c:pt idx="1">
                  <c:v>25401.72</c:v>
                </c:pt>
                <c:pt idx="2">
                  <c:v>24971.73</c:v>
                </c:pt>
                <c:pt idx="3">
                  <c:v>25310.19</c:v>
                </c:pt>
              </c:numCache>
            </c:numRef>
          </c:val>
          <c:extLst>
            <c:ext xmlns:c16="http://schemas.microsoft.com/office/drawing/2014/chart" uri="{C3380CC4-5D6E-409C-BE32-E72D297353CC}">
              <c16:uniqueId val="{00000000-0141-7B4A-9941-FD2E0F895AA4}"/>
            </c:ext>
          </c:extLst>
        </c:ser>
        <c:ser>
          <c:idx val="1"/>
          <c:order val="1"/>
          <c:tx>
            <c:strRef>
              <c:f>insuravgcost!$N$25:$N$26</c:f>
              <c:strCache>
                <c:ptCount val="1"/>
                <c:pt idx="0">
                  <c:v>Blue Cross</c:v>
                </c:pt>
              </c:strCache>
            </c:strRef>
          </c:tx>
          <c:spPr>
            <a:solidFill>
              <a:schemeClr val="accent2"/>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insuravgcost!$N$27:$N$39</c:f>
              <c:numCache>
                <c:formatCode>General</c:formatCode>
                <c:ptCount val="4"/>
                <c:pt idx="0">
                  <c:v>25842.85</c:v>
                </c:pt>
                <c:pt idx="1">
                  <c:v>25595.81</c:v>
                </c:pt>
                <c:pt idx="2">
                  <c:v>25491.08</c:v>
                </c:pt>
                <c:pt idx="3">
                  <c:v>26314.880000000001</c:v>
                </c:pt>
              </c:numCache>
            </c:numRef>
          </c:val>
          <c:extLst>
            <c:ext xmlns:c16="http://schemas.microsoft.com/office/drawing/2014/chart" uri="{C3380CC4-5D6E-409C-BE32-E72D297353CC}">
              <c16:uniqueId val="{00000006-0141-7B4A-9941-FD2E0F895AA4}"/>
            </c:ext>
          </c:extLst>
        </c:ser>
        <c:ser>
          <c:idx val="2"/>
          <c:order val="2"/>
          <c:tx>
            <c:strRef>
              <c:f>insuravgcost!$O$25:$O$26</c:f>
              <c:strCache>
                <c:ptCount val="1"/>
                <c:pt idx="0">
                  <c:v>Cigna</c:v>
                </c:pt>
              </c:strCache>
            </c:strRef>
          </c:tx>
          <c:spPr>
            <a:solidFill>
              <a:schemeClr val="accent3"/>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insuravgcost!$O$27:$O$39</c:f>
              <c:numCache>
                <c:formatCode>General</c:formatCode>
                <c:ptCount val="4"/>
                <c:pt idx="0">
                  <c:v>25203.13</c:v>
                </c:pt>
                <c:pt idx="1">
                  <c:v>26368.29</c:v>
                </c:pt>
                <c:pt idx="2">
                  <c:v>25131.599999999999</c:v>
                </c:pt>
                <c:pt idx="3">
                  <c:v>25335.25</c:v>
                </c:pt>
              </c:numCache>
            </c:numRef>
          </c:val>
          <c:extLst>
            <c:ext xmlns:c16="http://schemas.microsoft.com/office/drawing/2014/chart" uri="{C3380CC4-5D6E-409C-BE32-E72D297353CC}">
              <c16:uniqueId val="{00000007-0141-7B4A-9941-FD2E0F895AA4}"/>
            </c:ext>
          </c:extLst>
        </c:ser>
        <c:ser>
          <c:idx val="3"/>
          <c:order val="3"/>
          <c:tx>
            <c:strRef>
              <c:f>insuravgcost!$P$25:$P$26</c:f>
              <c:strCache>
                <c:ptCount val="1"/>
                <c:pt idx="0">
                  <c:v>Medicare</c:v>
                </c:pt>
              </c:strCache>
            </c:strRef>
          </c:tx>
          <c:spPr>
            <a:solidFill>
              <a:schemeClr val="accent4"/>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insuravgcost!$P$27:$P$39</c:f>
              <c:numCache>
                <c:formatCode>General</c:formatCode>
                <c:ptCount val="4"/>
                <c:pt idx="0">
                  <c:v>24836.5</c:v>
                </c:pt>
                <c:pt idx="1">
                  <c:v>25160.34</c:v>
                </c:pt>
                <c:pt idx="2">
                  <c:v>26569.19</c:v>
                </c:pt>
                <c:pt idx="3">
                  <c:v>26276.27</c:v>
                </c:pt>
              </c:numCache>
            </c:numRef>
          </c:val>
          <c:extLst>
            <c:ext xmlns:c16="http://schemas.microsoft.com/office/drawing/2014/chart" uri="{C3380CC4-5D6E-409C-BE32-E72D297353CC}">
              <c16:uniqueId val="{00000008-0141-7B4A-9941-FD2E0F895AA4}"/>
            </c:ext>
          </c:extLst>
        </c:ser>
        <c:ser>
          <c:idx val="4"/>
          <c:order val="4"/>
          <c:tx>
            <c:strRef>
              <c:f>insuravgcost!$Q$25:$Q$26</c:f>
              <c:strCache>
                <c:ptCount val="1"/>
                <c:pt idx="0">
                  <c:v>UnitedHealthcare</c:v>
                </c:pt>
              </c:strCache>
            </c:strRef>
          </c:tx>
          <c:spPr>
            <a:solidFill>
              <a:schemeClr val="accent5"/>
            </a:solidFill>
            <a:ln>
              <a:noFill/>
            </a:ln>
            <a:effectLst/>
          </c:spPr>
          <c:invertIfNegative val="0"/>
          <c:cat>
            <c:multiLvlStrRef>
              <c:f>insuravgcost!$L$27:$L$39</c:f>
              <c:multiLvlStrCache>
                <c:ptCount val="4"/>
                <c:lvl>
                  <c:pt idx="0">
                    <c:v>2023-01-01</c:v>
                  </c:pt>
                  <c:pt idx="1">
                    <c:v>2023-04-01</c:v>
                  </c:pt>
                  <c:pt idx="2">
                    <c:v>2023-07-01</c:v>
                  </c:pt>
                  <c:pt idx="3">
                    <c:v>2023-10-01</c:v>
                  </c:pt>
                </c:lvl>
                <c:lvl>
                  <c:pt idx="0">
                    <c:v>1-Jan</c:v>
                  </c:pt>
                  <c:pt idx="1">
                    <c:v>1-Apr</c:v>
                  </c:pt>
                  <c:pt idx="2">
                    <c:v>1-Jul</c:v>
                  </c:pt>
                  <c:pt idx="3">
                    <c:v>1-Oct</c:v>
                  </c:pt>
                </c:lvl>
                <c:lvl>
                  <c:pt idx="0">
                    <c:v>Jan</c:v>
                  </c:pt>
                  <c:pt idx="1">
                    <c:v>Apr</c:v>
                  </c:pt>
                  <c:pt idx="2">
                    <c:v>Jul</c:v>
                  </c:pt>
                  <c:pt idx="3">
                    <c:v>Oct</c:v>
                  </c:pt>
                </c:lvl>
              </c:multiLvlStrCache>
            </c:multiLvlStrRef>
          </c:cat>
          <c:val>
            <c:numRef>
              <c:f>insuravgcost!$Q$27:$Q$39</c:f>
              <c:numCache>
                <c:formatCode>General</c:formatCode>
                <c:ptCount val="4"/>
                <c:pt idx="0">
                  <c:v>25564.03</c:v>
                </c:pt>
                <c:pt idx="1">
                  <c:v>24671.78</c:v>
                </c:pt>
                <c:pt idx="2">
                  <c:v>25402.7</c:v>
                </c:pt>
                <c:pt idx="3">
                  <c:v>27047.23</c:v>
                </c:pt>
              </c:numCache>
            </c:numRef>
          </c:val>
          <c:extLst>
            <c:ext xmlns:c16="http://schemas.microsoft.com/office/drawing/2014/chart" uri="{C3380CC4-5D6E-409C-BE32-E72D297353CC}">
              <c16:uniqueId val="{00000009-0141-7B4A-9941-FD2E0F895AA4}"/>
            </c:ext>
          </c:extLst>
        </c:ser>
        <c:dLbls>
          <c:showLegendKey val="0"/>
          <c:showVal val="0"/>
          <c:showCatName val="0"/>
          <c:showSerName val="0"/>
          <c:showPercent val="0"/>
          <c:showBubbleSize val="0"/>
        </c:dLbls>
        <c:gapWidth val="219"/>
        <c:overlap val="-27"/>
        <c:axId val="651966639"/>
        <c:axId val="534307311"/>
      </c:barChart>
      <c:catAx>
        <c:axId val="65196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307311"/>
        <c:crosses val="autoZero"/>
        <c:auto val="1"/>
        <c:lblAlgn val="ctr"/>
        <c:lblOffset val="100"/>
        <c:noMultiLvlLbl val="0"/>
      </c:catAx>
      <c:valAx>
        <c:axId val="53430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96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[healthcarevisualdashboard.xlsx]medcodresults!PivotTable2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medcodresults!$K$1</c:f>
              <c:strCache>
                <c:ptCount val="1"/>
                <c:pt idx="0">
                  <c:v>Total</c:v>
                </c:pt>
              </c:strCache>
            </c:strRef>
          </c:tx>
          <c:spPr>
            <a:solidFill>
              <a:schemeClr val="accent1"/>
            </a:solidFill>
            <a:ln>
              <a:noFill/>
            </a:ln>
            <a:effectLst/>
          </c:spPr>
          <c:invertIfNegative val="0"/>
          <c:cat>
            <c:multiLvlStrRef>
              <c:f>medcodresults!$J$2:$J$16</c:f>
              <c:multiLvlStrCache>
                <c:ptCount val="12"/>
                <c:lvl>
                  <c:pt idx="0">
                    <c:v>Arthritis</c:v>
                  </c:pt>
                  <c:pt idx="1">
                    <c:v>Asthma</c:v>
                  </c:pt>
                  <c:pt idx="2">
                    <c:v>Cancer</c:v>
                  </c:pt>
                  <c:pt idx="3">
                    <c:v>Diabetes</c:v>
                  </c:pt>
                  <c:pt idx="4">
                    <c:v>Hypertension</c:v>
                  </c:pt>
                  <c:pt idx="5">
                    <c:v>Obesity</c:v>
                  </c:pt>
                  <c:pt idx="6">
                    <c:v>Arthritis</c:v>
                  </c:pt>
                  <c:pt idx="7">
                    <c:v>Asthma</c:v>
                  </c:pt>
                  <c:pt idx="8">
                    <c:v>Cancer</c:v>
                  </c:pt>
                  <c:pt idx="9">
                    <c:v>Diabetes</c:v>
                  </c:pt>
                  <c:pt idx="10">
                    <c:v>Hypertension</c:v>
                  </c:pt>
                  <c:pt idx="11">
                    <c:v>Obesity</c:v>
                  </c:pt>
                </c:lvl>
                <c:lvl>
                  <c:pt idx="0">
                    <c:v>Female</c:v>
                  </c:pt>
                  <c:pt idx="6">
                    <c:v>Male</c:v>
                  </c:pt>
                </c:lvl>
              </c:multiLvlStrCache>
            </c:multiLvlStrRef>
          </c:cat>
          <c:val>
            <c:numRef>
              <c:f>medcodresults!$K$2:$K$16</c:f>
              <c:numCache>
                <c:formatCode>General</c:formatCode>
                <c:ptCount val="12"/>
                <c:pt idx="0">
                  <c:v>34.037558685446001</c:v>
                </c:pt>
                <c:pt idx="1">
                  <c:v>32.813529540962001</c:v>
                </c:pt>
                <c:pt idx="2">
                  <c:v>34.311169056931703</c:v>
                </c:pt>
                <c:pt idx="3">
                  <c:v>34.250698774457099</c:v>
                </c:pt>
                <c:pt idx="4">
                  <c:v>32.6973113616652</c:v>
                </c:pt>
                <c:pt idx="5">
                  <c:v>33.946343574210204</c:v>
                </c:pt>
                <c:pt idx="6">
                  <c:v>34.465599307658998</c:v>
                </c:pt>
                <c:pt idx="7">
                  <c:v>32.707253886010299</c:v>
                </c:pt>
                <c:pt idx="8">
                  <c:v>33.2756756756756</c:v>
                </c:pt>
                <c:pt idx="9">
                  <c:v>33.849129593810403</c:v>
                </c:pt>
                <c:pt idx="10">
                  <c:v>32.462767105547101</c:v>
                </c:pt>
                <c:pt idx="11">
                  <c:v>33.911911477543903</c:v>
                </c:pt>
              </c:numCache>
            </c:numRef>
          </c:val>
          <c:extLst>
            <c:ext xmlns:c16="http://schemas.microsoft.com/office/drawing/2014/chart" uri="{C3380CC4-5D6E-409C-BE32-E72D297353CC}">
              <c16:uniqueId val="{00000000-D607-144C-BF9D-97B2CFD0473A}"/>
            </c:ext>
          </c:extLst>
        </c:ser>
        <c:dLbls>
          <c:showLegendKey val="0"/>
          <c:showVal val="0"/>
          <c:showCatName val="0"/>
          <c:showSerName val="0"/>
          <c:showPercent val="0"/>
          <c:showBubbleSize val="0"/>
        </c:dLbls>
        <c:gapWidth val="219"/>
        <c:overlap val="-27"/>
        <c:axId val="477504399"/>
        <c:axId val="477966079"/>
      </c:barChart>
      <c:catAx>
        <c:axId val="4775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966079"/>
        <c:crosses val="autoZero"/>
        <c:auto val="1"/>
        <c:lblAlgn val="ctr"/>
        <c:lblOffset val="100"/>
        <c:noMultiLvlLbl val="0"/>
      </c:catAx>
      <c:valAx>
        <c:axId val="47796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5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[healthcarevisualdashboard.xlsx]medcodresults!PivotTable1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580927384076984E-2"/>
          <c:y val="0.19483814523184603"/>
          <c:w val="0.75083092738407697"/>
          <c:h val="0.57899205307669876"/>
        </c:manualLayout>
      </c:layout>
      <c:barChart>
        <c:barDir val="col"/>
        <c:grouping val="clustered"/>
        <c:varyColors val="0"/>
        <c:ser>
          <c:idx val="0"/>
          <c:order val="0"/>
          <c:tx>
            <c:strRef>
              <c:f>medcodresults!$I$1</c:f>
              <c:strCache>
                <c:ptCount val="1"/>
                <c:pt idx="0">
                  <c:v>Total</c:v>
                </c:pt>
              </c:strCache>
            </c:strRef>
          </c:tx>
          <c:spPr>
            <a:solidFill>
              <a:schemeClr val="accent1"/>
            </a:solidFill>
            <a:ln>
              <a:noFill/>
            </a:ln>
            <a:effectLst/>
          </c:spPr>
          <c:invertIfNegative val="0"/>
          <c:cat>
            <c:strRef>
              <c:f>medcodresults!$H$2:$H$8</c:f>
              <c:strCache>
                <c:ptCount val="6"/>
                <c:pt idx="0">
                  <c:v>Arthritis</c:v>
                </c:pt>
                <c:pt idx="1">
                  <c:v>Asthma</c:v>
                </c:pt>
                <c:pt idx="2">
                  <c:v>Cancer</c:v>
                </c:pt>
                <c:pt idx="3">
                  <c:v>Diabetes</c:v>
                </c:pt>
                <c:pt idx="4">
                  <c:v>Hypertension</c:v>
                </c:pt>
                <c:pt idx="5">
                  <c:v>Obesity</c:v>
                </c:pt>
              </c:strCache>
            </c:strRef>
          </c:cat>
          <c:val>
            <c:numRef>
              <c:f>medcodresults!$I$2:$I$8</c:f>
              <c:numCache>
                <c:formatCode>General</c:formatCode>
                <c:ptCount val="6"/>
                <c:pt idx="0">
                  <c:v>18616</c:v>
                </c:pt>
                <c:pt idx="1">
                  <c:v>18370</c:v>
                </c:pt>
                <c:pt idx="2">
                  <c:v>18454</c:v>
                </c:pt>
                <c:pt idx="3">
                  <c:v>18608</c:v>
                </c:pt>
                <c:pt idx="4">
                  <c:v>18490</c:v>
                </c:pt>
                <c:pt idx="5">
                  <c:v>18462</c:v>
                </c:pt>
              </c:numCache>
            </c:numRef>
          </c:val>
          <c:extLst>
            <c:ext xmlns:c16="http://schemas.microsoft.com/office/drawing/2014/chart" uri="{C3380CC4-5D6E-409C-BE32-E72D297353CC}">
              <c16:uniqueId val="{00000000-80B4-1D4B-99D5-BA63998784A5}"/>
            </c:ext>
          </c:extLst>
        </c:ser>
        <c:dLbls>
          <c:showLegendKey val="0"/>
          <c:showVal val="0"/>
          <c:showCatName val="0"/>
          <c:showSerName val="0"/>
          <c:showPercent val="0"/>
          <c:showBubbleSize val="0"/>
        </c:dLbls>
        <c:gapWidth val="219"/>
        <c:overlap val="-27"/>
        <c:axId val="532974623"/>
        <c:axId val="487048159"/>
      </c:barChart>
      <c:catAx>
        <c:axId val="53297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048159"/>
        <c:crosses val="autoZero"/>
        <c:auto val="1"/>
        <c:lblAlgn val="ctr"/>
        <c:lblOffset val="100"/>
        <c:noMultiLvlLbl val="0"/>
      </c:catAx>
      <c:valAx>
        <c:axId val="48704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7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190500</xdr:colOff>
      <xdr:row>1</xdr:row>
      <xdr:rowOff>12700</xdr:rowOff>
    </xdr:from>
    <xdr:to>
      <xdr:col>3</xdr:col>
      <xdr:colOff>671286</xdr:colOff>
      <xdr:row>19</xdr:row>
      <xdr:rowOff>72572</xdr:rowOff>
    </xdr:to>
    <xdr:sp macro="" textlink="">
      <xdr:nvSpPr>
        <xdr:cNvPr id="2" name="Rectangle 1">
          <a:extLst>
            <a:ext uri="{FF2B5EF4-FFF2-40B4-BE49-F238E27FC236}">
              <a16:creationId xmlns:a16="http://schemas.microsoft.com/office/drawing/2014/main" id="{D530DB53-78A5-F342-998B-0918CDDDB528}"/>
            </a:ext>
          </a:extLst>
        </xdr:cNvPr>
        <xdr:cNvSpPr/>
      </xdr:nvSpPr>
      <xdr:spPr>
        <a:xfrm>
          <a:off x="190500" y="212271"/>
          <a:ext cx="2984500" cy="3652158"/>
        </a:xfrm>
        <a:prstGeom prst="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0" cap="none" spc="0">
              <a:ln w="0"/>
              <a:solidFill>
                <a:schemeClr val="tx1"/>
              </a:solidFill>
              <a:effectLst>
                <a:outerShdw blurRad="38100" dist="19050" dir="2700000" algn="tl" rotWithShape="0">
                  <a:schemeClr val="dk1">
                    <a:alpha val="40000"/>
                  </a:schemeClr>
                </a:outerShdw>
              </a:effectLst>
            </a:rPr>
            <a:t>add</a:t>
          </a:r>
          <a:r>
            <a:rPr lang="en-US" sz="1600" b="0" cap="none" spc="0" baseline="0">
              <a:ln w="0"/>
              <a:solidFill>
                <a:schemeClr val="tx1"/>
              </a:solidFill>
              <a:effectLst>
                <a:outerShdw blurRad="38100" dist="19050" dir="2700000" algn="tl" rotWithShape="0">
                  <a:schemeClr val="dk1">
                    <a:alpha val="40000"/>
                  </a:schemeClr>
                </a:outerShdw>
              </a:effectLst>
            </a:rPr>
            <a:t> Slicers</a:t>
          </a:r>
        </a:p>
        <a:p>
          <a:pPr algn="l"/>
          <a:r>
            <a:rPr lang="en-US" sz="1600" b="0" cap="none" spc="0" baseline="0">
              <a:ln w="0"/>
              <a:solidFill>
                <a:schemeClr val="tx1"/>
              </a:solidFill>
              <a:effectLst>
                <a:outerShdw blurRad="38100" dist="19050" dir="2700000" algn="tl" rotWithShape="0">
                  <a:schemeClr val="dk1">
                    <a:alpha val="40000"/>
                  </a:schemeClr>
                </a:outerShdw>
              </a:effectLst>
            </a:rPr>
            <a:t>- insurance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600">
            <a:solidFill>
              <a:schemeClr val="tx1"/>
            </a:solidFill>
          </a:endParaRPr>
        </a:p>
      </xdr:txBody>
    </xdr:sp>
    <xdr:clientData/>
  </xdr:twoCellAnchor>
  <xdr:twoCellAnchor>
    <xdr:from>
      <xdr:col>4</xdr:col>
      <xdr:colOff>14112</xdr:colOff>
      <xdr:row>1</xdr:row>
      <xdr:rowOff>28221</xdr:rowOff>
    </xdr:from>
    <xdr:to>
      <xdr:col>24</xdr:col>
      <xdr:colOff>471716</xdr:colOff>
      <xdr:row>46</xdr:row>
      <xdr:rowOff>18142</xdr:rowOff>
    </xdr:to>
    <xdr:sp macro="" textlink="">
      <xdr:nvSpPr>
        <xdr:cNvPr id="4" name="Rectangle 3">
          <a:extLst>
            <a:ext uri="{FF2B5EF4-FFF2-40B4-BE49-F238E27FC236}">
              <a16:creationId xmlns:a16="http://schemas.microsoft.com/office/drawing/2014/main" id="{B1EC0457-B113-E248-BAFE-F45A8B5046AB}"/>
            </a:ext>
          </a:extLst>
        </xdr:cNvPr>
        <xdr:cNvSpPr/>
      </xdr:nvSpPr>
      <xdr:spPr>
        <a:xfrm>
          <a:off x="3352398" y="227792"/>
          <a:ext cx="17149032" cy="90069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412749</xdr:colOff>
      <xdr:row>3</xdr:row>
      <xdr:rowOff>0</xdr:rowOff>
    </xdr:from>
    <xdr:to>
      <xdr:col>24</xdr:col>
      <xdr:colOff>155223</xdr:colOff>
      <xdr:row>11</xdr:row>
      <xdr:rowOff>0</xdr:rowOff>
    </xdr:to>
    <xdr:sp macro="" textlink="">
      <xdr:nvSpPr>
        <xdr:cNvPr id="5" name="Rounded Rectangle 4">
          <a:extLst>
            <a:ext uri="{FF2B5EF4-FFF2-40B4-BE49-F238E27FC236}">
              <a16:creationId xmlns:a16="http://schemas.microsoft.com/office/drawing/2014/main" id="{E8702FFD-D1A1-9C43-B0C8-D67343F2BA98}"/>
            </a:ext>
          </a:extLst>
        </xdr:cNvPr>
        <xdr:cNvSpPr/>
      </xdr:nvSpPr>
      <xdr:spPr>
        <a:xfrm>
          <a:off x="3742971" y="592667"/>
          <a:ext cx="16393585" cy="15804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800" b="1">
              <a:solidFill>
                <a:schemeClr val="tx1"/>
              </a:solidFill>
              <a:latin typeface="Tisa Offc Serif Pro" panose="020F0502020204030204" pitchFamily="34" charset="0"/>
              <a:cs typeface="Tisa Offc Serif Pro" panose="020F0502020204030204" pitchFamily="34" charset="0"/>
            </a:rPr>
            <a:t>Average Insurance Cost 2023</a:t>
          </a:r>
        </a:p>
      </xdr:txBody>
    </xdr:sp>
    <xdr:clientData/>
  </xdr:twoCellAnchor>
  <xdr:twoCellAnchor>
    <xdr:from>
      <xdr:col>4</xdr:col>
      <xdr:colOff>444500</xdr:colOff>
      <xdr:row>11</xdr:row>
      <xdr:rowOff>190503</xdr:rowOff>
    </xdr:from>
    <xdr:to>
      <xdr:col>12</xdr:col>
      <xdr:colOff>301625</xdr:colOff>
      <xdr:row>18</xdr:row>
      <xdr:rowOff>158750</xdr:rowOff>
    </xdr:to>
    <xdr:sp macro="" textlink="">
      <xdr:nvSpPr>
        <xdr:cNvPr id="6" name="Rounded Rectangle 5">
          <a:extLst>
            <a:ext uri="{FF2B5EF4-FFF2-40B4-BE49-F238E27FC236}">
              <a16:creationId xmlns:a16="http://schemas.microsoft.com/office/drawing/2014/main" id="{6BA3011C-47FF-7B4A-B6D6-7FABF28E0691}"/>
            </a:ext>
          </a:extLst>
        </xdr:cNvPr>
        <xdr:cNvSpPr/>
      </xdr:nvSpPr>
      <xdr:spPr>
        <a:xfrm>
          <a:off x="3746500" y="2425703"/>
          <a:ext cx="6461125" cy="139064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a:solidFill>
                <a:schemeClr val="tx1"/>
              </a:solidFill>
            </a:rPr>
            <a:t>Annual Average</a:t>
          </a:r>
          <a:r>
            <a:rPr lang="en-US" sz="1600" baseline="0">
              <a:solidFill>
                <a:schemeClr val="tx1"/>
              </a:solidFill>
            </a:rPr>
            <a:t> Cost</a:t>
          </a:r>
          <a:endParaRPr lang="en-US" sz="1600">
            <a:solidFill>
              <a:schemeClr val="tx1"/>
            </a:solidFill>
          </a:endParaRPr>
        </a:p>
        <a:p>
          <a:pPr algn="l"/>
          <a:endParaRPr lang="en-US" sz="1100">
            <a:solidFill>
              <a:schemeClr val="tx1"/>
            </a:solidFill>
          </a:endParaRPr>
        </a:p>
      </xdr:txBody>
    </xdr:sp>
    <xdr:clientData/>
  </xdr:twoCellAnchor>
  <xdr:twoCellAnchor>
    <xdr:from>
      <xdr:col>12</xdr:col>
      <xdr:colOff>495300</xdr:colOff>
      <xdr:row>12</xdr:row>
      <xdr:rowOff>28222</xdr:rowOff>
    </xdr:from>
    <xdr:to>
      <xdr:col>20</xdr:col>
      <xdr:colOff>84668</xdr:colOff>
      <xdr:row>18</xdr:row>
      <xdr:rowOff>149577</xdr:rowOff>
    </xdr:to>
    <xdr:sp macro="" textlink="">
      <xdr:nvSpPr>
        <xdr:cNvPr id="7" name="Rounded Rectangle 6">
          <a:extLst>
            <a:ext uri="{FF2B5EF4-FFF2-40B4-BE49-F238E27FC236}">
              <a16:creationId xmlns:a16="http://schemas.microsoft.com/office/drawing/2014/main" id="{7F42106F-F320-4042-BE3A-C384A998CCFC}"/>
            </a:ext>
          </a:extLst>
        </xdr:cNvPr>
        <xdr:cNvSpPr/>
      </xdr:nvSpPr>
      <xdr:spPr>
        <a:xfrm>
          <a:off x="10485967" y="2398889"/>
          <a:ext cx="6249812" cy="130668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Annual Total Cost 2023</a:t>
          </a:r>
        </a:p>
      </xdr:txBody>
    </xdr:sp>
    <xdr:clientData/>
  </xdr:twoCellAnchor>
  <xdr:twoCellAnchor>
    <xdr:from>
      <xdr:col>4</xdr:col>
      <xdr:colOff>492124</xdr:colOff>
      <xdr:row>21</xdr:row>
      <xdr:rowOff>15877</xdr:rowOff>
    </xdr:from>
    <xdr:to>
      <xdr:col>17</xdr:col>
      <xdr:colOff>460375</xdr:colOff>
      <xdr:row>40</xdr:row>
      <xdr:rowOff>15875</xdr:rowOff>
    </xdr:to>
    <xdr:sp macro="" textlink="">
      <xdr:nvSpPr>
        <xdr:cNvPr id="8" name="Rectangle 7">
          <a:extLst>
            <a:ext uri="{FF2B5EF4-FFF2-40B4-BE49-F238E27FC236}">
              <a16:creationId xmlns:a16="http://schemas.microsoft.com/office/drawing/2014/main" id="{8FEE94E5-4E7D-E045-BFCE-AB60D69FDD41}"/>
            </a:ext>
          </a:extLst>
        </xdr:cNvPr>
        <xdr:cNvSpPr/>
      </xdr:nvSpPr>
      <xdr:spPr>
        <a:xfrm>
          <a:off x="3794124" y="4283077"/>
          <a:ext cx="10699751" cy="3860798"/>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solidFill>
              <a:schemeClr val="tx1"/>
            </a:solidFill>
          </a:endParaRPr>
        </a:p>
      </xdr:txBody>
    </xdr:sp>
    <xdr:clientData/>
  </xdr:twoCellAnchor>
  <xdr:twoCellAnchor>
    <xdr:from>
      <xdr:col>20</xdr:col>
      <xdr:colOff>268111</xdr:colOff>
      <xdr:row>20</xdr:row>
      <xdr:rowOff>14112</xdr:rowOff>
    </xdr:from>
    <xdr:to>
      <xdr:col>24</xdr:col>
      <xdr:colOff>141110</xdr:colOff>
      <xdr:row>44</xdr:row>
      <xdr:rowOff>0</xdr:rowOff>
    </xdr:to>
    <xdr:sp macro="" textlink="">
      <xdr:nvSpPr>
        <xdr:cNvPr id="9" name="Rectangle 8">
          <a:extLst>
            <a:ext uri="{FF2B5EF4-FFF2-40B4-BE49-F238E27FC236}">
              <a16:creationId xmlns:a16="http://schemas.microsoft.com/office/drawing/2014/main" id="{6A357A84-A637-7B44-8EA1-5D139EC1AC7A}"/>
            </a:ext>
          </a:extLst>
        </xdr:cNvPr>
        <xdr:cNvSpPr/>
      </xdr:nvSpPr>
      <xdr:spPr>
        <a:xfrm>
          <a:off x="16919222" y="3965223"/>
          <a:ext cx="3203221" cy="4755444"/>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Legend:</a:t>
          </a:r>
        </a:p>
        <a:p>
          <a:pPr algn="l"/>
          <a:endParaRPr lang="en-US" sz="1400">
            <a:solidFill>
              <a:schemeClr val="tx1"/>
            </a:solidFill>
          </a:endParaRPr>
        </a:p>
        <a:p>
          <a:pPr algn="l"/>
          <a:r>
            <a:rPr lang="en-US" sz="1400">
              <a:solidFill>
                <a:schemeClr val="tx1"/>
              </a:solidFill>
            </a:rPr>
            <a:t>Compare</a:t>
          </a:r>
          <a:r>
            <a:rPr lang="en-US" sz="1400" baseline="0">
              <a:solidFill>
                <a:schemeClr val="tx1"/>
              </a:solidFill>
            </a:rPr>
            <a:t> insurance capital by quarter  in the left pane.</a:t>
          </a:r>
          <a:endParaRPr lang="en-US" sz="1400">
            <a:solidFill>
              <a:schemeClr val="tx1"/>
            </a:solidFill>
          </a:endParaRPr>
        </a:p>
        <a:p>
          <a:pPr algn="l"/>
          <a:endParaRPr lang="en-US" sz="1400" baseline="0">
            <a:solidFill>
              <a:schemeClr val="tx1"/>
            </a:solidFill>
          </a:endParaRPr>
        </a:p>
        <a:p>
          <a:pPr algn="l"/>
          <a:r>
            <a:rPr lang="en-US" sz="1400" baseline="0">
              <a:solidFill>
                <a:schemeClr val="tx1"/>
              </a:solidFill>
            </a:rPr>
            <a:t>The highlighted fields reflect the selected chart results. </a:t>
          </a:r>
        </a:p>
        <a:p>
          <a:pPr algn="l"/>
          <a:endParaRPr lang="en-US" sz="1400" baseline="0">
            <a:solidFill>
              <a:schemeClr val="tx1"/>
            </a:solidFill>
          </a:endParaRPr>
        </a:p>
        <a:p>
          <a:pPr algn="l"/>
          <a:r>
            <a:rPr lang="en-US" sz="1400" baseline="0">
              <a:solidFill>
                <a:schemeClr val="tx1"/>
              </a:solidFill>
            </a:rPr>
            <a:t>Clear the filter by clicking the funnel icon .</a:t>
          </a:r>
        </a:p>
      </xdr:txBody>
    </xdr:sp>
    <xdr:clientData/>
  </xdr:twoCellAnchor>
  <xdr:twoCellAnchor>
    <xdr:from>
      <xdr:col>4</xdr:col>
      <xdr:colOff>666750</xdr:colOff>
      <xdr:row>14</xdr:row>
      <xdr:rowOff>35775</xdr:rowOff>
    </xdr:from>
    <xdr:to>
      <xdr:col>11</xdr:col>
      <xdr:colOff>809625</xdr:colOff>
      <xdr:row>18</xdr:row>
      <xdr:rowOff>31750</xdr:rowOff>
    </xdr:to>
    <xdr:sp macro="" textlink="">
      <xdr:nvSpPr>
        <xdr:cNvPr id="10" name="TextBox 9">
          <a:extLst>
            <a:ext uri="{FF2B5EF4-FFF2-40B4-BE49-F238E27FC236}">
              <a16:creationId xmlns:a16="http://schemas.microsoft.com/office/drawing/2014/main" id="{E5957CCA-D9A2-E343-8EF8-E9108643B18B}"/>
            </a:ext>
          </a:extLst>
        </xdr:cNvPr>
        <xdr:cNvSpPr txBox="1"/>
      </xdr:nvSpPr>
      <xdr:spPr>
        <a:xfrm>
          <a:off x="3958018" y="2790423"/>
          <a:ext cx="5902593" cy="783017"/>
        </a:xfrm>
        <a:prstGeom prst="rect">
          <a:avLst/>
        </a:prstGeom>
        <a:solidFill>
          <a:schemeClr val="lt1"/>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i="0" u="none" strike="noStrike">
              <a:solidFill>
                <a:schemeClr val="dk1"/>
              </a:solidFill>
              <a:effectLst/>
              <a:latin typeface="+mn-lt"/>
              <a:ea typeface="+mn-ea"/>
              <a:cs typeface="+mn-cs"/>
            </a:rPr>
            <a:t>$ 511,517.84</a:t>
          </a:r>
          <a:r>
            <a:rPr lang="en-US" sz="4000"/>
            <a:t> </a:t>
          </a:r>
          <a:endParaRPr lang="en-US" sz="4000" b="1"/>
        </a:p>
      </xdr:txBody>
    </xdr:sp>
    <xdr:clientData/>
  </xdr:twoCellAnchor>
  <xdr:twoCellAnchor>
    <xdr:from>
      <xdr:col>12</xdr:col>
      <xdr:colOff>705557</xdr:colOff>
      <xdr:row>14</xdr:row>
      <xdr:rowOff>53661</xdr:rowOff>
    </xdr:from>
    <xdr:to>
      <xdr:col>17</xdr:col>
      <xdr:colOff>465668</xdr:colOff>
      <xdr:row>18</xdr:row>
      <xdr:rowOff>28220</xdr:rowOff>
    </xdr:to>
    <xdr:sp macro="" textlink="">
      <xdr:nvSpPr>
        <xdr:cNvPr id="14" name="TextBox 13">
          <a:extLst>
            <a:ext uri="{FF2B5EF4-FFF2-40B4-BE49-F238E27FC236}">
              <a16:creationId xmlns:a16="http://schemas.microsoft.com/office/drawing/2014/main" id="{5859C1D7-8812-1A41-8CCA-F2520FCDB8BD}"/>
            </a:ext>
          </a:extLst>
        </xdr:cNvPr>
        <xdr:cNvSpPr txBox="1"/>
      </xdr:nvSpPr>
      <xdr:spPr>
        <a:xfrm>
          <a:off x="10579360" y="2808309"/>
          <a:ext cx="3874195" cy="761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US" sz="4000"/>
            <a:t> </a:t>
          </a:r>
          <a:r>
            <a:rPr lang="en-US" sz="4000" b="1" i="0"/>
            <a:t>$ </a:t>
          </a:r>
          <a:r>
            <a:rPr lang="en-US" sz="4000" b="1" i="0" u="none" strike="noStrike">
              <a:solidFill>
                <a:schemeClr val="dk1"/>
              </a:solidFill>
              <a:effectLst/>
              <a:latin typeface="+mn-lt"/>
              <a:ea typeface="+mn-ea"/>
              <a:cs typeface="+mn-cs"/>
            </a:rPr>
            <a:t>563,954,505.20</a:t>
          </a:r>
          <a:endParaRPr lang="en-US" sz="4000" b="1" i="0"/>
        </a:p>
      </xdr:txBody>
    </xdr:sp>
    <xdr:clientData/>
  </xdr:twoCellAnchor>
  <xdr:twoCellAnchor editAs="oneCell">
    <xdr:from>
      <xdr:col>0</xdr:col>
      <xdr:colOff>176387</xdr:colOff>
      <xdr:row>1</xdr:row>
      <xdr:rowOff>40921</xdr:rowOff>
    </xdr:from>
    <xdr:to>
      <xdr:col>3</xdr:col>
      <xdr:colOff>691444</xdr:colOff>
      <xdr:row>22</xdr:row>
      <xdr:rowOff>141111</xdr:rowOff>
    </xdr:to>
    <mc:AlternateContent xmlns:mc="http://schemas.openxmlformats.org/markup-compatibility/2006" xmlns:a14="http://schemas.microsoft.com/office/drawing/2010/main">
      <mc:Choice Requires="a14">
        <xdr:graphicFrame macro="">
          <xdr:nvGraphicFramePr>
            <xdr:cNvPr id="15" name="insurance 1">
              <a:extLst>
                <a:ext uri="{FF2B5EF4-FFF2-40B4-BE49-F238E27FC236}">
                  <a16:creationId xmlns:a16="http://schemas.microsoft.com/office/drawing/2014/main" id="{75E48D78-2360-5E4E-A4A7-4F6546ABFC80}"/>
                </a:ext>
              </a:extLst>
            </xdr:cNvPr>
            <xdr:cNvGraphicFramePr/>
          </xdr:nvGraphicFramePr>
          <xdr:xfrm>
            <a:off x="0" y="0"/>
            <a:ext cx="0" cy="0"/>
          </xdr:xfrm>
          <a:graphic>
            <a:graphicData uri="http://schemas.microsoft.com/office/drawing/2010/slicer">
              <sle:slicer xmlns:sle="http://schemas.microsoft.com/office/drawing/2010/slicer" name="insurance 1"/>
            </a:graphicData>
          </a:graphic>
        </xdr:graphicFrame>
      </mc:Choice>
      <mc:Fallback xmlns="">
        <xdr:sp macro="" textlink="">
          <xdr:nvSpPr>
            <xdr:cNvPr id="0" name=""/>
            <xdr:cNvSpPr>
              <a:spLocks noTextEdit="1"/>
            </xdr:cNvSpPr>
          </xdr:nvSpPr>
          <xdr:spPr>
            <a:xfrm>
              <a:off x="176387" y="238477"/>
              <a:ext cx="3012724" cy="4248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185458</xdr:colOff>
      <xdr:row>23</xdr:row>
      <xdr:rowOff>42333</xdr:rowOff>
    </xdr:from>
    <xdr:to>
      <xdr:col>3</xdr:col>
      <xdr:colOff>691443</xdr:colOff>
      <xdr:row>46</xdr:row>
      <xdr:rowOff>28221</xdr:rowOff>
    </xdr:to>
    <mc:AlternateContent xmlns:mc="http://schemas.openxmlformats.org/markup-compatibility/2006" xmlns:a14="http://schemas.microsoft.com/office/drawing/2010/main">
      <mc:Choice Requires="a14">
        <xdr:graphicFrame macro="">
          <xdr:nvGraphicFramePr>
            <xdr:cNvPr id="16" name="quarter 1">
              <a:extLst>
                <a:ext uri="{FF2B5EF4-FFF2-40B4-BE49-F238E27FC236}">
                  <a16:creationId xmlns:a16="http://schemas.microsoft.com/office/drawing/2014/main" id="{6EC50831-AABF-0A42-954D-B07098F9A089}"/>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85458" y="4586111"/>
              <a:ext cx="3003652" cy="4557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479779</xdr:colOff>
      <xdr:row>19</xdr:row>
      <xdr:rowOff>169332</xdr:rowOff>
    </xdr:from>
    <xdr:to>
      <xdr:col>19</xdr:col>
      <xdr:colOff>790222</xdr:colOff>
      <xdr:row>44</xdr:row>
      <xdr:rowOff>14110</xdr:rowOff>
    </xdr:to>
    <xdr:graphicFrame macro="">
      <xdr:nvGraphicFramePr>
        <xdr:cNvPr id="18" name="Chart 17">
          <a:extLst>
            <a:ext uri="{FF2B5EF4-FFF2-40B4-BE49-F238E27FC236}">
              <a16:creationId xmlns:a16="http://schemas.microsoft.com/office/drawing/2014/main" id="{E30E7E75-5552-4048-98A0-A9D5293B9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239135</xdr:colOff>
      <xdr:row>12</xdr:row>
      <xdr:rowOff>42333</xdr:rowOff>
    </xdr:from>
    <xdr:to>
      <xdr:col>24</xdr:col>
      <xdr:colOff>169334</xdr:colOff>
      <xdr:row>18</xdr:row>
      <xdr:rowOff>151590</xdr:rowOff>
    </xdr:to>
    <xdr:sp macro="" textlink="">
      <xdr:nvSpPr>
        <xdr:cNvPr id="19" name="Rounded Rectangle 18">
          <a:extLst>
            <a:ext uri="{FF2B5EF4-FFF2-40B4-BE49-F238E27FC236}">
              <a16:creationId xmlns:a16="http://schemas.microsoft.com/office/drawing/2014/main" id="{3097CE98-0878-F343-9713-921E5692CA39}"/>
            </a:ext>
          </a:extLst>
        </xdr:cNvPr>
        <xdr:cNvSpPr/>
      </xdr:nvSpPr>
      <xdr:spPr>
        <a:xfrm>
          <a:off x="16890246" y="2413000"/>
          <a:ext cx="3260421" cy="12945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Total</a:t>
          </a:r>
          <a:r>
            <a:rPr lang="en-US" sz="1600" baseline="0">
              <a:solidFill>
                <a:schemeClr val="tx1"/>
              </a:solidFill>
            </a:rPr>
            <a:t> Patient Visits</a:t>
          </a:r>
          <a:endParaRPr lang="en-US" sz="1600">
            <a:solidFill>
              <a:schemeClr val="tx1"/>
            </a:solidFill>
          </a:endParaRPr>
        </a:p>
      </xdr:txBody>
    </xdr:sp>
    <xdr:clientData/>
  </xdr:twoCellAnchor>
  <xdr:twoCellAnchor>
    <xdr:from>
      <xdr:col>20</xdr:col>
      <xdr:colOff>465667</xdr:colOff>
      <xdr:row>14</xdr:row>
      <xdr:rowOff>56444</xdr:rowOff>
    </xdr:from>
    <xdr:to>
      <xdr:col>23</xdr:col>
      <xdr:colOff>225778</xdr:colOff>
      <xdr:row>17</xdr:row>
      <xdr:rowOff>169334</xdr:rowOff>
    </xdr:to>
    <xdr:sp macro="" textlink="">
      <xdr:nvSpPr>
        <xdr:cNvPr id="20" name="TextBox 19">
          <a:extLst>
            <a:ext uri="{FF2B5EF4-FFF2-40B4-BE49-F238E27FC236}">
              <a16:creationId xmlns:a16="http://schemas.microsoft.com/office/drawing/2014/main" id="{B51B59FD-90C3-F620-0A14-195DF7310C83}"/>
            </a:ext>
          </a:extLst>
        </xdr:cNvPr>
        <xdr:cNvSpPr txBox="1"/>
      </xdr:nvSpPr>
      <xdr:spPr>
        <a:xfrm>
          <a:off x="17116778" y="2822222"/>
          <a:ext cx="2257778" cy="705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i="0" u="none" strike="noStrike">
              <a:solidFill>
                <a:schemeClr val="dk1"/>
              </a:solidFill>
              <a:effectLst/>
              <a:latin typeface="+mn-lt"/>
              <a:ea typeface="+mn-ea"/>
              <a:cs typeface="+mn-cs"/>
            </a:rPr>
            <a:t>22052</a:t>
          </a:r>
          <a:r>
            <a:rPr lang="en-US" sz="4000" b="1"/>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141111</xdr:colOff>
      <xdr:row>1</xdr:row>
      <xdr:rowOff>84665</xdr:rowOff>
    </xdr:from>
    <xdr:to>
      <xdr:col>3</xdr:col>
      <xdr:colOff>691443</xdr:colOff>
      <xdr:row>16</xdr:row>
      <xdr:rowOff>88899</xdr:rowOff>
    </xdr:to>
    <xdr:sp macro="" textlink="">
      <xdr:nvSpPr>
        <xdr:cNvPr id="2" name="Rectangle 1">
          <a:extLst>
            <a:ext uri="{FF2B5EF4-FFF2-40B4-BE49-F238E27FC236}">
              <a16:creationId xmlns:a16="http://schemas.microsoft.com/office/drawing/2014/main" id="{3DBF5F1E-C97D-2012-B962-C8E82602751C}"/>
            </a:ext>
          </a:extLst>
        </xdr:cNvPr>
        <xdr:cNvSpPr/>
      </xdr:nvSpPr>
      <xdr:spPr>
        <a:xfrm>
          <a:off x="141111" y="282221"/>
          <a:ext cx="3047999" cy="2967567"/>
        </a:xfrm>
        <a:prstGeom prst="rect">
          <a:avLst/>
        </a:prstGeom>
        <a:solidFill>
          <a:schemeClr val="lt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47626</xdr:colOff>
      <xdr:row>1</xdr:row>
      <xdr:rowOff>28222</xdr:rowOff>
    </xdr:from>
    <xdr:to>
      <xdr:col>21</xdr:col>
      <xdr:colOff>790223</xdr:colOff>
      <xdr:row>40</xdr:row>
      <xdr:rowOff>190500</xdr:rowOff>
    </xdr:to>
    <xdr:sp macro="" textlink="">
      <xdr:nvSpPr>
        <xdr:cNvPr id="5" name="Rectangle 4">
          <a:extLst>
            <a:ext uri="{FF2B5EF4-FFF2-40B4-BE49-F238E27FC236}">
              <a16:creationId xmlns:a16="http://schemas.microsoft.com/office/drawing/2014/main" id="{BD314FC4-6CA8-534F-A9C3-975EB948B810}"/>
            </a:ext>
          </a:extLst>
        </xdr:cNvPr>
        <xdr:cNvSpPr/>
      </xdr:nvSpPr>
      <xdr:spPr>
        <a:xfrm>
          <a:off x="3377848" y="225778"/>
          <a:ext cx="14896042" cy="786694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398639</xdr:colOff>
      <xdr:row>2</xdr:row>
      <xdr:rowOff>70556</xdr:rowOff>
    </xdr:from>
    <xdr:to>
      <xdr:col>21</xdr:col>
      <xdr:colOff>381000</xdr:colOff>
      <xdr:row>11</xdr:row>
      <xdr:rowOff>0</xdr:rowOff>
    </xdr:to>
    <xdr:sp macro="" textlink="">
      <xdr:nvSpPr>
        <xdr:cNvPr id="6" name="Rounded Rectangle 5">
          <a:extLst>
            <a:ext uri="{FF2B5EF4-FFF2-40B4-BE49-F238E27FC236}">
              <a16:creationId xmlns:a16="http://schemas.microsoft.com/office/drawing/2014/main" id="{6A1B1C3E-AB42-216F-E2CD-8A124D41140E}"/>
            </a:ext>
          </a:extLst>
        </xdr:cNvPr>
        <xdr:cNvSpPr/>
      </xdr:nvSpPr>
      <xdr:spPr>
        <a:xfrm>
          <a:off x="3728861" y="465667"/>
          <a:ext cx="14135806" cy="170744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4800" b="1">
              <a:solidFill>
                <a:schemeClr val="tx1"/>
              </a:solidFill>
              <a:latin typeface="Tisa Offc Serif Pro" panose="020F0502020204030204" pitchFamily="34" charset="0"/>
              <a:cs typeface="Tisa Offc Serif Pro" panose="020F0502020204030204" pitchFamily="34" charset="0"/>
            </a:rPr>
            <a:t>Medical</a:t>
          </a:r>
          <a:r>
            <a:rPr lang="en-US" sz="4800" b="1" baseline="0">
              <a:solidFill>
                <a:schemeClr val="tx1"/>
              </a:solidFill>
              <a:latin typeface="Tisa Offc Serif Pro" panose="020F0502020204030204" pitchFamily="34" charset="0"/>
              <a:cs typeface="Tisa Offc Serif Pro" panose="020F0502020204030204" pitchFamily="34" charset="0"/>
            </a:rPr>
            <a:t> Condition Results by Gender</a:t>
          </a:r>
          <a:endParaRPr lang="en-US" sz="4800" b="1">
            <a:solidFill>
              <a:schemeClr val="tx1"/>
            </a:solidFill>
            <a:latin typeface="Tisa Offc Serif Pro" panose="020F0502020204030204" pitchFamily="34" charset="0"/>
            <a:cs typeface="Tisa Offc Serif Pro" panose="020F0502020204030204" pitchFamily="34" charset="0"/>
          </a:endParaRPr>
        </a:p>
      </xdr:txBody>
    </xdr:sp>
    <xdr:clientData/>
  </xdr:twoCellAnchor>
  <xdr:twoCellAnchor>
    <xdr:from>
      <xdr:col>4</xdr:col>
      <xdr:colOff>444500</xdr:colOff>
      <xdr:row>11</xdr:row>
      <xdr:rowOff>190503</xdr:rowOff>
    </xdr:from>
    <xdr:to>
      <xdr:col>12</xdr:col>
      <xdr:colOff>301625</xdr:colOff>
      <xdr:row>18</xdr:row>
      <xdr:rowOff>158750</xdr:rowOff>
    </xdr:to>
    <xdr:sp macro="" textlink="">
      <xdr:nvSpPr>
        <xdr:cNvPr id="7" name="Rounded Rectangle 6">
          <a:extLst>
            <a:ext uri="{FF2B5EF4-FFF2-40B4-BE49-F238E27FC236}">
              <a16:creationId xmlns:a16="http://schemas.microsoft.com/office/drawing/2014/main" id="{CB467E27-CFCF-D943-B43E-D0BF96C1930F}"/>
            </a:ext>
          </a:extLst>
        </xdr:cNvPr>
        <xdr:cNvSpPr/>
      </xdr:nvSpPr>
      <xdr:spPr>
        <a:xfrm>
          <a:off x="3774722" y="2363614"/>
          <a:ext cx="6517570" cy="13511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Total</a:t>
          </a:r>
          <a:r>
            <a:rPr lang="en-US" sz="1600" baseline="0">
              <a:solidFill>
                <a:schemeClr val="tx1"/>
              </a:solidFill>
            </a:rPr>
            <a:t> Patients </a:t>
          </a:r>
          <a:endParaRPr lang="en-US" sz="1600">
            <a:solidFill>
              <a:schemeClr val="tx1"/>
            </a:solidFill>
          </a:endParaRPr>
        </a:p>
      </xdr:txBody>
    </xdr:sp>
    <xdr:clientData/>
  </xdr:twoCellAnchor>
  <xdr:twoCellAnchor>
    <xdr:from>
      <xdr:col>12</xdr:col>
      <xdr:colOff>495299</xdr:colOff>
      <xdr:row>12</xdr:row>
      <xdr:rowOff>0</xdr:rowOff>
    </xdr:from>
    <xdr:to>
      <xdr:col>21</xdr:col>
      <xdr:colOff>381000</xdr:colOff>
      <xdr:row>18</xdr:row>
      <xdr:rowOff>149577</xdr:rowOff>
    </xdr:to>
    <xdr:sp macro="" textlink="">
      <xdr:nvSpPr>
        <xdr:cNvPr id="9" name="Rounded Rectangle 8">
          <a:extLst>
            <a:ext uri="{FF2B5EF4-FFF2-40B4-BE49-F238E27FC236}">
              <a16:creationId xmlns:a16="http://schemas.microsoft.com/office/drawing/2014/main" id="{C4EDDAA2-4F26-D644-B02A-F027CF47C639}"/>
            </a:ext>
          </a:extLst>
        </xdr:cNvPr>
        <xdr:cNvSpPr/>
      </xdr:nvSpPr>
      <xdr:spPr>
        <a:xfrm>
          <a:off x="10485966" y="2370667"/>
          <a:ext cx="7378701" cy="133491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tx1"/>
              </a:solidFill>
            </a:rPr>
            <a:t>Positive</a:t>
          </a:r>
          <a:r>
            <a:rPr lang="en-US" sz="1600" baseline="0">
              <a:solidFill>
                <a:schemeClr val="tx1"/>
              </a:solidFill>
            </a:rPr>
            <a:t> Results</a:t>
          </a:r>
          <a:endParaRPr lang="en-US" sz="1600">
            <a:solidFill>
              <a:schemeClr val="tx1"/>
            </a:solidFill>
          </a:endParaRPr>
        </a:p>
      </xdr:txBody>
    </xdr:sp>
    <xdr:clientData/>
  </xdr:twoCellAnchor>
  <xdr:twoCellAnchor>
    <xdr:from>
      <xdr:col>4</xdr:col>
      <xdr:colOff>492124</xdr:colOff>
      <xdr:row>21</xdr:row>
      <xdr:rowOff>15877</xdr:rowOff>
    </xdr:from>
    <xdr:to>
      <xdr:col>17</xdr:col>
      <xdr:colOff>460375</xdr:colOff>
      <xdr:row>40</xdr:row>
      <xdr:rowOff>15875</xdr:rowOff>
    </xdr:to>
    <xdr:sp macro="" textlink="">
      <xdr:nvSpPr>
        <xdr:cNvPr id="11" name="Rectangle 10">
          <a:extLst>
            <a:ext uri="{FF2B5EF4-FFF2-40B4-BE49-F238E27FC236}">
              <a16:creationId xmlns:a16="http://schemas.microsoft.com/office/drawing/2014/main" id="{8903E166-6F94-EB45-9AAE-B93A3084A79B}"/>
            </a:ext>
          </a:extLst>
        </xdr:cNvPr>
        <xdr:cNvSpPr/>
      </xdr:nvSpPr>
      <xdr:spPr>
        <a:xfrm>
          <a:off x="3794124" y="4349752"/>
          <a:ext cx="10699751" cy="3921123"/>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800">
            <a:solidFill>
              <a:schemeClr val="tx1"/>
            </a:solidFill>
          </a:endParaRPr>
        </a:p>
      </xdr:txBody>
    </xdr:sp>
    <xdr:clientData/>
  </xdr:twoCellAnchor>
  <xdr:twoCellAnchor>
    <xdr:from>
      <xdr:col>17</xdr:col>
      <xdr:colOff>762001</xdr:colOff>
      <xdr:row>20</xdr:row>
      <xdr:rowOff>183446</xdr:rowOff>
    </xdr:from>
    <xdr:to>
      <xdr:col>21</xdr:col>
      <xdr:colOff>352778</xdr:colOff>
      <xdr:row>40</xdr:row>
      <xdr:rowOff>1</xdr:rowOff>
    </xdr:to>
    <xdr:sp macro="" textlink="">
      <xdr:nvSpPr>
        <xdr:cNvPr id="14" name="Rectangle 13">
          <a:extLst>
            <a:ext uri="{FF2B5EF4-FFF2-40B4-BE49-F238E27FC236}">
              <a16:creationId xmlns:a16="http://schemas.microsoft.com/office/drawing/2014/main" id="{87C53FD6-8BA5-D048-88BD-75DEFB345A41}"/>
            </a:ext>
          </a:extLst>
        </xdr:cNvPr>
        <xdr:cNvSpPr/>
      </xdr:nvSpPr>
      <xdr:spPr>
        <a:xfrm>
          <a:off x="14915445" y="4134557"/>
          <a:ext cx="2921000" cy="3767666"/>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rPr>
            <a:t>Legend:</a:t>
          </a:r>
        </a:p>
        <a:p>
          <a:pPr algn="l"/>
          <a:endParaRPr lang="en-US" sz="1400">
            <a:solidFill>
              <a:schemeClr val="tx1"/>
            </a:solidFill>
          </a:endParaRPr>
        </a:p>
        <a:p>
          <a:pPr algn="l"/>
          <a:r>
            <a:rPr lang="en-US" sz="1400">
              <a:solidFill>
                <a:schemeClr val="tx1"/>
              </a:solidFill>
            </a:rPr>
            <a:t>Compare medical</a:t>
          </a:r>
          <a:r>
            <a:rPr lang="en-US" sz="1400" baseline="0">
              <a:solidFill>
                <a:schemeClr val="tx1"/>
              </a:solidFill>
            </a:rPr>
            <a:t> conditions and in the left pane.</a:t>
          </a:r>
          <a:endParaRPr lang="en-US" sz="1400">
            <a:solidFill>
              <a:schemeClr val="tx1"/>
            </a:solidFill>
          </a:endParaRPr>
        </a:p>
        <a:p>
          <a:pPr algn="l"/>
          <a:endParaRPr lang="en-US" sz="1400" baseline="0">
            <a:solidFill>
              <a:schemeClr val="tx1"/>
            </a:solidFill>
          </a:endParaRPr>
        </a:p>
        <a:p>
          <a:pPr algn="l"/>
          <a:r>
            <a:rPr lang="en-US" sz="1400" baseline="0">
              <a:solidFill>
                <a:schemeClr val="tx1"/>
              </a:solidFill>
            </a:rPr>
            <a:t>The highlighted fields reflect the selected chart results. </a:t>
          </a:r>
        </a:p>
        <a:p>
          <a:pPr algn="l"/>
          <a:endParaRPr lang="en-US" sz="1400" baseline="0">
            <a:solidFill>
              <a:schemeClr val="tx1"/>
            </a:solidFill>
          </a:endParaRPr>
        </a:p>
        <a:p>
          <a:pPr algn="l"/>
          <a:r>
            <a:rPr lang="en-US" sz="1400" baseline="0">
              <a:solidFill>
                <a:schemeClr val="tx1"/>
              </a:solidFill>
            </a:rPr>
            <a:t>Results are shown as a percentage.</a:t>
          </a:r>
        </a:p>
        <a:p>
          <a:pPr algn="l"/>
          <a:endParaRPr lang="en-US" sz="1400" baseline="0">
            <a:solidFill>
              <a:schemeClr val="tx1"/>
            </a:solidFill>
          </a:endParaRPr>
        </a:p>
        <a:p>
          <a:pPr algn="l"/>
          <a:r>
            <a:rPr lang="en-US" sz="1400" baseline="0">
              <a:solidFill>
                <a:schemeClr val="tx1"/>
              </a:solidFill>
            </a:rPr>
            <a:t>Clear the filter by clicking the funnel icon .</a:t>
          </a:r>
        </a:p>
      </xdr:txBody>
    </xdr:sp>
    <xdr:clientData/>
  </xdr:twoCellAnchor>
  <xdr:twoCellAnchor>
    <xdr:from>
      <xdr:col>4</xdr:col>
      <xdr:colOff>666750</xdr:colOff>
      <xdr:row>13</xdr:row>
      <xdr:rowOff>127000</xdr:rowOff>
    </xdr:from>
    <xdr:to>
      <xdr:col>11</xdr:col>
      <xdr:colOff>809625</xdr:colOff>
      <xdr:row>18</xdr:row>
      <xdr:rowOff>31750</xdr:rowOff>
    </xdr:to>
    <xdr:sp macro="" textlink="">
      <xdr:nvSpPr>
        <xdr:cNvPr id="16" name="TextBox 15">
          <a:extLst>
            <a:ext uri="{FF2B5EF4-FFF2-40B4-BE49-F238E27FC236}">
              <a16:creationId xmlns:a16="http://schemas.microsoft.com/office/drawing/2014/main" id="{B9B0B83C-83AA-9EC7-B37D-5FC6BBA85EB8}"/>
            </a:ext>
          </a:extLst>
        </xdr:cNvPr>
        <xdr:cNvSpPr txBox="1"/>
      </xdr:nvSpPr>
      <xdr:spPr>
        <a:xfrm>
          <a:off x="3968750" y="2809875"/>
          <a:ext cx="5921375" cy="936625"/>
        </a:xfrm>
        <a:prstGeom prst="rect">
          <a:avLst/>
        </a:prstGeom>
        <a:solidFill>
          <a:schemeClr val="lt1"/>
        </a:solid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i="0" u="none" strike="noStrike">
              <a:solidFill>
                <a:schemeClr val="dk1"/>
              </a:solidFill>
              <a:effectLst/>
              <a:latin typeface="+mn-lt"/>
              <a:ea typeface="+mn-ea"/>
              <a:cs typeface="+mn-cs"/>
            </a:rPr>
            <a:t>111000</a:t>
          </a:r>
          <a:r>
            <a:rPr lang="en-US" sz="4000" b="1"/>
            <a:t> Patients</a:t>
          </a:r>
        </a:p>
      </xdr:txBody>
    </xdr:sp>
    <xdr:clientData/>
  </xdr:twoCellAnchor>
  <xdr:twoCellAnchor>
    <xdr:from>
      <xdr:col>4</xdr:col>
      <xdr:colOff>587376</xdr:colOff>
      <xdr:row>22</xdr:row>
      <xdr:rowOff>142875</xdr:rowOff>
    </xdr:from>
    <xdr:to>
      <xdr:col>17</xdr:col>
      <xdr:colOff>317500</xdr:colOff>
      <xdr:row>39</xdr:row>
      <xdr:rowOff>79375</xdr:rowOff>
    </xdr:to>
    <xdr:graphicFrame macro="">
      <xdr:nvGraphicFramePr>
        <xdr:cNvPr id="17" name="Chart 16">
          <a:extLst>
            <a:ext uri="{FF2B5EF4-FFF2-40B4-BE49-F238E27FC236}">
              <a16:creationId xmlns:a16="http://schemas.microsoft.com/office/drawing/2014/main" id="{121C3F18-1349-A04D-9F7F-888A1A7E6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148165</xdr:colOff>
      <xdr:row>12</xdr:row>
      <xdr:rowOff>69132</xdr:rowOff>
    </xdr:from>
    <xdr:to>
      <xdr:col>3</xdr:col>
      <xdr:colOff>691444</xdr:colOff>
      <xdr:row>41</xdr:row>
      <xdr:rowOff>1</xdr:rowOff>
    </xdr:to>
    <mc:AlternateContent xmlns:mc="http://schemas.openxmlformats.org/markup-compatibility/2006" xmlns:a14="http://schemas.microsoft.com/office/drawing/2010/main">
      <mc:Choice Requires="a14">
        <xdr:graphicFrame macro="">
          <xdr:nvGraphicFramePr>
            <xdr:cNvPr id="19" name="medicalcondition 1">
              <a:extLst>
                <a:ext uri="{FF2B5EF4-FFF2-40B4-BE49-F238E27FC236}">
                  <a16:creationId xmlns:a16="http://schemas.microsoft.com/office/drawing/2014/main" id="{CA8DE950-18D4-3E49-8C3C-2A4133927BD0}"/>
                </a:ext>
              </a:extLst>
            </xdr:cNvPr>
            <xdr:cNvGraphicFramePr/>
          </xdr:nvGraphicFramePr>
          <xdr:xfrm>
            <a:off x="0" y="0"/>
            <a:ext cx="0" cy="0"/>
          </xdr:xfrm>
          <a:graphic>
            <a:graphicData uri="http://schemas.microsoft.com/office/drawing/2010/slicer">
              <sle:slicer xmlns:sle="http://schemas.microsoft.com/office/drawing/2010/slicer" name="medicalcondition 1"/>
            </a:graphicData>
          </a:graphic>
        </xdr:graphicFrame>
      </mc:Choice>
      <mc:Fallback xmlns="">
        <xdr:sp macro="" textlink="">
          <xdr:nvSpPr>
            <xdr:cNvPr id="0" name=""/>
            <xdr:cNvSpPr>
              <a:spLocks noTextEdit="1"/>
            </xdr:cNvSpPr>
          </xdr:nvSpPr>
          <xdr:spPr>
            <a:xfrm>
              <a:off x="148165" y="2439798"/>
              <a:ext cx="3040946" cy="1436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705556</xdr:colOff>
      <xdr:row>13</xdr:row>
      <xdr:rowOff>155222</xdr:rowOff>
    </xdr:from>
    <xdr:to>
      <xdr:col>20</xdr:col>
      <xdr:colOff>649111</xdr:colOff>
      <xdr:row>18</xdr:row>
      <xdr:rowOff>28222</xdr:rowOff>
    </xdr:to>
    <xdr:sp macro="" textlink="">
      <xdr:nvSpPr>
        <xdr:cNvPr id="21" name="TextBox 20">
          <a:extLst>
            <a:ext uri="{FF2B5EF4-FFF2-40B4-BE49-F238E27FC236}">
              <a16:creationId xmlns:a16="http://schemas.microsoft.com/office/drawing/2014/main" id="{70DBCC22-3803-9E27-2A25-969E16510DD4}"/>
            </a:ext>
          </a:extLst>
        </xdr:cNvPr>
        <xdr:cNvSpPr txBox="1"/>
      </xdr:nvSpPr>
      <xdr:spPr>
        <a:xfrm>
          <a:off x="10696223" y="2723444"/>
          <a:ext cx="6603999" cy="8607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000" b="1" i="0" u="none" strike="noStrike">
              <a:solidFill>
                <a:schemeClr val="dk1"/>
              </a:solidFill>
              <a:effectLst/>
              <a:latin typeface="+mn-lt"/>
              <a:ea typeface="+mn-ea"/>
              <a:cs typeface="+mn-cs"/>
            </a:rPr>
            <a:t>402.73</a:t>
          </a:r>
          <a:r>
            <a:rPr lang="en-US" sz="4000" b="1" i="0" u="none" strike="noStrike" baseline="0">
              <a:solidFill>
                <a:schemeClr val="dk1"/>
              </a:solidFill>
              <a:effectLst/>
              <a:latin typeface="+mn-lt"/>
              <a:ea typeface="+mn-ea"/>
              <a:cs typeface="+mn-cs"/>
            </a:rPr>
            <a:t> Positive Results</a:t>
          </a:r>
          <a:endParaRPr lang="en-US" sz="4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787400</xdr:colOff>
      <xdr:row>10</xdr:row>
      <xdr:rowOff>19050</xdr:rowOff>
    </xdr:from>
    <xdr:to>
      <xdr:col>14</xdr:col>
      <xdr:colOff>774700</xdr:colOff>
      <xdr:row>23</xdr:row>
      <xdr:rowOff>120650</xdr:rowOff>
    </xdr:to>
    <xdr:graphicFrame macro="">
      <xdr:nvGraphicFramePr>
        <xdr:cNvPr id="14" name="Chart 13">
          <a:extLst>
            <a:ext uri="{FF2B5EF4-FFF2-40B4-BE49-F238E27FC236}">
              <a16:creationId xmlns:a16="http://schemas.microsoft.com/office/drawing/2014/main" id="{E824F6AB-CA0C-E358-5430-856CEAD3D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393700</xdr:colOff>
      <xdr:row>34</xdr:row>
      <xdr:rowOff>114300</xdr:rowOff>
    </xdr:from>
    <xdr:to>
      <xdr:col>8</xdr:col>
      <xdr:colOff>1397000</xdr:colOff>
      <xdr:row>47</xdr:row>
      <xdr:rowOff>92072</xdr:rowOff>
    </xdr:to>
    <mc:AlternateContent xmlns:mc="http://schemas.openxmlformats.org/markup-compatibility/2006" xmlns:a14="http://schemas.microsoft.com/office/drawing/2010/main">
      <mc:Choice Requires="a14">
        <xdr:graphicFrame macro="">
          <xdr:nvGraphicFramePr>
            <xdr:cNvPr id="21" name="insurance">
              <a:extLst>
                <a:ext uri="{FF2B5EF4-FFF2-40B4-BE49-F238E27FC236}">
                  <a16:creationId xmlns:a16="http://schemas.microsoft.com/office/drawing/2014/main" id="{9C252105-F532-FE2F-C73F-6DE204E8F842}"/>
                </a:ext>
              </a:extLst>
            </xdr:cNvPr>
            <xdr:cNvGraphicFramePr/>
          </xdr:nvGraphicFramePr>
          <xdr:xfrm>
            <a:off x="0" y="0"/>
            <a:ext cx="0" cy="0"/>
          </xdr:xfrm>
          <a:graphic>
            <a:graphicData uri="http://schemas.microsoft.com/office/drawing/2010/slicer">
              <sle:slicer xmlns:sle="http://schemas.microsoft.com/office/drawing/2010/slicer" name="insurance"/>
            </a:graphicData>
          </a:graphic>
        </xdr:graphicFrame>
      </mc:Choice>
      <mc:Fallback xmlns="">
        <xdr:sp macro="" textlink="">
          <xdr:nvSpPr>
            <xdr:cNvPr id="0" name=""/>
            <xdr:cNvSpPr>
              <a:spLocks noTextEdit="1"/>
            </xdr:cNvSpPr>
          </xdr:nvSpPr>
          <xdr:spPr>
            <a:xfrm>
              <a:off x="6705600" y="7023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139700</xdr:colOff>
      <xdr:row>34</xdr:row>
      <xdr:rowOff>114300</xdr:rowOff>
    </xdr:from>
    <xdr:to>
      <xdr:col>11</xdr:col>
      <xdr:colOff>0</xdr:colOff>
      <xdr:row>47</xdr:row>
      <xdr:rowOff>92072</xdr:rowOff>
    </xdr:to>
    <mc:AlternateContent xmlns:mc="http://schemas.openxmlformats.org/markup-compatibility/2006" xmlns:a14="http://schemas.microsoft.com/office/drawing/2010/main">
      <mc:Choice Requires="a14">
        <xdr:graphicFrame macro="">
          <xdr:nvGraphicFramePr>
            <xdr:cNvPr id="22" name="quarter">
              <a:extLst>
                <a:ext uri="{FF2B5EF4-FFF2-40B4-BE49-F238E27FC236}">
                  <a16:creationId xmlns:a16="http://schemas.microsoft.com/office/drawing/2014/main" id="{EF7282A9-7362-A9D1-6739-8D74D8BA17D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953500" y="7023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946150</xdr:colOff>
      <xdr:row>40</xdr:row>
      <xdr:rowOff>196850</xdr:rowOff>
    </xdr:from>
    <xdr:to>
      <xdr:col>16</xdr:col>
      <xdr:colOff>692150</xdr:colOff>
      <xdr:row>54</xdr:row>
      <xdr:rowOff>95250</xdr:rowOff>
    </xdr:to>
    <xdr:graphicFrame macro="">
      <xdr:nvGraphicFramePr>
        <xdr:cNvPr id="27" name="Chart 26">
          <a:extLst>
            <a:ext uri="{FF2B5EF4-FFF2-40B4-BE49-F238E27FC236}">
              <a16:creationId xmlns:a16="http://schemas.microsoft.com/office/drawing/2014/main" id="{BCF103F9-1836-9638-5C9A-9E41B7F0A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279400</xdr:colOff>
      <xdr:row>17</xdr:row>
      <xdr:rowOff>133350</xdr:rowOff>
    </xdr:from>
    <xdr:to>
      <xdr:col>15</xdr:col>
      <xdr:colOff>177800</xdr:colOff>
      <xdr:row>32</xdr:row>
      <xdr:rowOff>0</xdr:rowOff>
    </xdr:to>
    <xdr:graphicFrame macro="">
      <xdr:nvGraphicFramePr>
        <xdr:cNvPr id="2" name="Chart 1">
          <a:extLst>
            <a:ext uri="{FF2B5EF4-FFF2-40B4-BE49-F238E27FC236}">
              <a16:creationId xmlns:a16="http://schemas.microsoft.com/office/drawing/2014/main" id="{8A945135-B17A-BDDB-C678-3F27307CA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25400</xdr:colOff>
      <xdr:row>0</xdr:row>
      <xdr:rowOff>38100</xdr:rowOff>
    </xdr:from>
    <xdr:to>
      <xdr:col>12</xdr:col>
      <xdr:colOff>330200</xdr:colOff>
      <xdr:row>13</xdr:row>
      <xdr:rowOff>15872</xdr:rowOff>
    </xdr:to>
    <mc:AlternateContent xmlns:mc="http://schemas.openxmlformats.org/markup-compatibility/2006" xmlns:a14="http://schemas.microsoft.com/office/drawing/2010/main">
      <mc:Choice Requires="a14">
        <xdr:graphicFrame macro="">
          <xdr:nvGraphicFramePr>
            <xdr:cNvPr id="5" name="medicalcondition">
              <a:extLst>
                <a:ext uri="{FF2B5EF4-FFF2-40B4-BE49-F238E27FC236}">
                  <a16:creationId xmlns:a16="http://schemas.microsoft.com/office/drawing/2014/main" id="{D00B7DE2-EF9A-C894-4C55-C4455659629F}"/>
                </a:ext>
              </a:extLst>
            </xdr:cNvPr>
            <xdr:cNvGraphicFramePr/>
          </xdr:nvGraphicFramePr>
          <xdr:xfrm>
            <a:off x="0" y="0"/>
            <a:ext cx="0" cy="0"/>
          </xdr:xfrm>
          <a:graphic>
            <a:graphicData uri="http://schemas.microsoft.com/office/drawing/2010/slicer">
              <sle:slicer xmlns:sle="http://schemas.microsoft.com/office/drawing/2010/slicer" name="medicalcondition"/>
            </a:graphicData>
          </a:graphic>
        </xdr:graphicFrame>
      </mc:Choice>
      <mc:Fallback xmlns="">
        <xdr:sp macro="" textlink="">
          <xdr:nvSpPr>
            <xdr:cNvPr id="0" name=""/>
            <xdr:cNvSpPr>
              <a:spLocks noTextEdit="1"/>
            </xdr:cNvSpPr>
          </xdr:nvSpPr>
          <xdr:spPr>
            <a:xfrm>
              <a:off x="11455400" y="38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254000</xdr:colOff>
      <xdr:row>18</xdr:row>
      <xdr:rowOff>107950</xdr:rowOff>
    </xdr:from>
    <xdr:to>
      <xdr:col>8</xdr:col>
      <xdr:colOff>1358900</xdr:colOff>
      <xdr:row>32</xdr:row>
      <xdr:rowOff>6350</xdr:rowOff>
    </xdr:to>
    <xdr:graphicFrame macro="">
      <xdr:nvGraphicFramePr>
        <xdr:cNvPr id="8" name="Chart 7">
          <a:extLst>
            <a:ext uri="{FF2B5EF4-FFF2-40B4-BE49-F238E27FC236}">
              <a16:creationId xmlns:a16="http://schemas.microsoft.com/office/drawing/2014/main" id="{D06ABD55-5BB5-A1FD-BA82-33A0EA808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 refreshedDate="46123.725094328707" createdVersion="8" refreshedVersion="8" minRefreshableVersion="3" recordCount="12" xr:uid="{7FAC621D-3126-4043-A88B-FD5C6CC7F57E}">
  <cacheSource type="worksheet">
    <worksheetSource ref="A1:E13" sheet="medcodresults"/>
  </cacheSource>
  <cacheFields count="5">
    <cacheField name="medicalcondition" numFmtId="0">
      <sharedItems count="6">
        <s v="Arthritis"/>
        <s v="Asthma"/>
        <s v="Cancer"/>
        <s v="Diabetes"/>
        <s v="Hypertension"/>
        <s v="Obesity"/>
      </sharedItems>
    </cacheField>
    <cacheField name="gender" numFmtId="0">
      <sharedItems count="2">
        <s v="Female"/>
        <s v="Male"/>
      </sharedItems>
    </cacheField>
    <cacheField name="total patients" numFmtId="0">
      <sharedItems containsSemiMixedTypes="0" containsString="0" containsNumber="1" containsInteger="1" minValue="9106" maxValue="9372" count="11">
        <n v="9372"/>
        <n v="9244"/>
        <n v="9106"/>
        <n v="9264"/>
        <n v="9204"/>
        <n v="9250"/>
        <n v="9302"/>
        <n v="9306"/>
        <n v="9224"/>
        <n v="9266"/>
        <n v="9218"/>
      </sharedItems>
    </cacheField>
    <cacheField name="average age" numFmtId="0">
      <sharedItems containsSemiMixedTypes="0" containsString="0" containsNumber="1" minValue="51.1" maxValue="52.1"/>
    </cacheField>
    <cacheField name="positive results" numFmtId="2">
      <sharedItems containsSemiMixedTypes="0" containsString="0" containsNumber="1" minValue="32.462767105547101" maxValue="34.465599307658998" count="12">
        <n v="34.037558685446001"/>
        <n v="34.465599307658998"/>
        <n v="32.813529540962001"/>
        <n v="32.707253886010299"/>
        <n v="34.311169056931703"/>
        <n v="33.2756756756756"/>
        <n v="34.250698774457099"/>
        <n v="33.849129593810403"/>
        <n v="32.6973113616652"/>
        <n v="32.462767105547101"/>
        <n v="33.946343574210204"/>
        <n v="33.911911477543903"/>
      </sharedItems>
    </cacheField>
  </cacheFields>
  <extLst>
    <ext xmlns:x14="http://schemas.microsoft.com/office/spreadsheetml/2009/9/main" uri="{725AE2AE-9491-48be-B2B4-4EB974FC3084}">
      <x14:pivotCacheDefinition pivotCacheId="11779584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 refreshedDate="46125.72673159722" createdVersion="8" refreshedVersion="8" minRefreshableVersion="3" recordCount="20" xr:uid="{68FBA841-261F-D94B-8800-61D9D1690413}">
  <cacheSource type="worksheet">
    <worksheetSource ref="A1:E21" sheet="insuravgcost"/>
  </cacheSource>
  <cacheFields count="7">
    <cacheField name="insurance" numFmtId="0">
      <sharedItems count="5">
        <s v="Aetna"/>
        <s v="Blue Cross"/>
        <s v="Cigna"/>
        <s v="Medicare"/>
        <s v="UnitedHealthcare"/>
      </sharedItems>
    </cacheField>
    <cacheField name="quarter" numFmtId="164">
      <sharedItems containsSemiMixedTypes="0" containsNonDate="0" containsDate="1" containsString="0" minDate="2023-01-01T00:00:00" maxDate="2023-10-02T00:00:00" count="4">
        <d v="2023-01-01T00:00:00"/>
        <d v="2023-04-01T00:00:00"/>
        <d v="2023-07-01T00:00:00"/>
        <d v="2023-10-01T00:00:00"/>
      </sharedItems>
      <fieldGroup par="6"/>
    </cacheField>
    <cacheField name="total visits" numFmtId="0">
      <sharedItems containsSemiMixedTypes="0" containsString="0" containsNumber="1" containsInteger="1" minValue="1000" maxValue="1194" count="17">
        <n v="1000"/>
        <n v="1104"/>
        <n v="1034"/>
        <n v="1016"/>
        <n v="1162"/>
        <n v="1094"/>
        <n v="1060"/>
        <n v="1164"/>
        <n v="1058"/>
        <n v="1194"/>
        <n v="1120"/>
        <n v="1166"/>
        <n v="1142"/>
        <n v="1044"/>
        <n v="1122"/>
        <n v="1082"/>
        <n v="1150"/>
      </sharedItems>
    </cacheField>
    <cacheField name="average cost" numFmtId="165">
      <sharedItems containsSemiMixedTypes="0" containsString="0" containsNumber="1" minValue="24671.78" maxValue="27047.23" count="20">
        <n v="25023.27"/>
        <n v="25401.72"/>
        <n v="24971.73"/>
        <n v="25310.19"/>
        <n v="25842.85"/>
        <n v="25595.81"/>
        <n v="25491.08"/>
        <n v="26314.880000000001"/>
        <n v="25203.13"/>
        <n v="26368.29"/>
        <n v="25131.599999999999"/>
        <n v="25335.25"/>
        <n v="24836.5"/>
        <n v="25160.34"/>
        <n v="26569.19"/>
        <n v="26276.27"/>
        <n v="25564.03"/>
        <n v="24671.78"/>
        <n v="25402.7"/>
        <n v="27047.23"/>
      </sharedItems>
    </cacheField>
    <cacheField name="total cost" numFmtId="165">
      <sharedItems containsSemiMixedTypes="0" containsString="0" containsNumber="1" minValue="25023267.399999999" maxValue="30887936.48" count="20">
        <n v="25023267.399999999"/>
        <n v="28043499.780000001"/>
        <n v="25820770.219999999"/>
        <n v="26170734.359999999"/>
        <n v="26256338.260000002"/>
        <n v="29742325.52"/>
        <n v="27887246.600000001"/>
        <n v="27893770.559999999"/>
        <n v="29336447"/>
        <n v="27897652.739999998"/>
        <n v="30007130.199999999"/>
        <n v="28375482.579999998"/>
        <n v="28909683.620000001"/>
        <n v="29336960.16"/>
        <n v="30342018"/>
        <n v="27432423.699999999"/>
        <n v="28682837.940000001"/>
        <n v="26694870.620000001"/>
        <n v="29213109.420000002"/>
        <n v="30887936.48"/>
      </sharedItems>
    </cacheField>
    <cacheField name="Days (quarter)" numFmtId="0" databaseField="0">
      <fieldGroup base="1">
        <rangePr groupBy="days" startDate="2023-01-01T00:00:00" endDate="2023-10-02T00:00:00"/>
        <groupItems count="368">
          <s v="&lt;1/1/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2/23"/>
        </groupItems>
      </fieldGroup>
    </cacheField>
    <cacheField name="Months (quarter)" numFmtId="0" databaseField="0">
      <fieldGroup base="1">
        <rangePr groupBy="months" startDate="2023-01-01T00:00:00" endDate="2023-10-02T00:00:00"/>
        <groupItems count="14">
          <s v="&lt;1/1/23"/>
          <s v="Jan"/>
          <s v="Feb"/>
          <s v="Mar"/>
          <s v="Apr"/>
          <s v="May"/>
          <s v="Jun"/>
          <s v="Jul"/>
          <s v="Aug"/>
          <s v="Sep"/>
          <s v="Oct"/>
          <s v="Nov"/>
          <s v="Dec"/>
          <s v="&gt;10/2/23"/>
        </groupItems>
      </fieldGroup>
    </cacheField>
  </cacheFields>
  <extLst>
    <ext xmlns:x14="http://schemas.microsoft.com/office/spreadsheetml/2009/9/main" uri="{725AE2AE-9491-48be-B2B4-4EB974FC3084}">
      <x14:pivotCacheDefinition pivotCacheId="12781313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 refreshedDate="46125.78480011574" createdVersion="8" refreshedVersion="8" minRefreshableVersion="3" recordCount="20" xr:uid="{8DE45786-02CF-7049-AE47-D1AFE4F54DE0}">
  <cacheSource type="worksheet">
    <worksheetSource ref="E1:E21" sheet="insuravgcost"/>
  </cacheSource>
  <cacheFields count="1">
    <cacheField name="total cost" numFmtId="165">
      <sharedItems containsSemiMixedTypes="0" containsString="0" containsNumber="1" minValue="25023267.399999999" maxValue="30887936.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51.4"/>
    <x v="0"/>
  </r>
  <r>
    <x v="0"/>
    <x v="1"/>
    <x v="1"/>
    <n v="51.7"/>
    <x v="1"/>
  </r>
  <r>
    <x v="1"/>
    <x v="0"/>
    <x v="2"/>
    <n v="51.7"/>
    <x v="2"/>
  </r>
  <r>
    <x v="1"/>
    <x v="1"/>
    <x v="3"/>
    <n v="51.5"/>
    <x v="3"/>
  </r>
  <r>
    <x v="2"/>
    <x v="0"/>
    <x v="4"/>
    <n v="51.3"/>
    <x v="4"/>
  </r>
  <r>
    <x v="2"/>
    <x v="1"/>
    <x v="5"/>
    <n v="51.8"/>
    <x v="5"/>
  </r>
  <r>
    <x v="3"/>
    <x v="0"/>
    <x v="6"/>
    <n v="51.6"/>
    <x v="6"/>
  </r>
  <r>
    <x v="3"/>
    <x v="1"/>
    <x v="7"/>
    <n v="51.5"/>
    <x v="7"/>
  </r>
  <r>
    <x v="4"/>
    <x v="0"/>
    <x v="8"/>
    <n v="52.1"/>
    <x v="8"/>
  </r>
  <r>
    <x v="4"/>
    <x v="1"/>
    <x v="9"/>
    <n v="51.3"/>
    <x v="9"/>
  </r>
  <r>
    <x v="5"/>
    <x v="0"/>
    <x v="1"/>
    <n v="51.4"/>
    <x v="10"/>
  </r>
  <r>
    <x v="5"/>
    <x v="1"/>
    <x v="10"/>
    <n v="51.1"/>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r>
  <r>
    <x v="0"/>
    <x v="1"/>
    <x v="1"/>
    <x v="1"/>
    <x v="1"/>
  </r>
  <r>
    <x v="0"/>
    <x v="2"/>
    <x v="2"/>
    <x v="2"/>
    <x v="2"/>
  </r>
  <r>
    <x v="0"/>
    <x v="3"/>
    <x v="2"/>
    <x v="3"/>
    <x v="3"/>
  </r>
  <r>
    <x v="1"/>
    <x v="0"/>
    <x v="3"/>
    <x v="4"/>
    <x v="4"/>
  </r>
  <r>
    <x v="1"/>
    <x v="1"/>
    <x v="4"/>
    <x v="5"/>
    <x v="5"/>
  </r>
  <r>
    <x v="1"/>
    <x v="2"/>
    <x v="5"/>
    <x v="6"/>
    <x v="6"/>
  </r>
  <r>
    <x v="1"/>
    <x v="3"/>
    <x v="6"/>
    <x v="7"/>
    <x v="7"/>
  </r>
  <r>
    <x v="2"/>
    <x v="0"/>
    <x v="7"/>
    <x v="8"/>
    <x v="8"/>
  </r>
  <r>
    <x v="2"/>
    <x v="1"/>
    <x v="8"/>
    <x v="9"/>
    <x v="9"/>
  </r>
  <r>
    <x v="2"/>
    <x v="2"/>
    <x v="9"/>
    <x v="10"/>
    <x v="10"/>
  </r>
  <r>
    <x v="2"/>
    <x v="3"/>
    <x v="10"/>
    <x v="11"/>
    <x v="11"/>
  </r>
  <r>
    <x v="3"/>
    <x v="0"/>
    <x v="7"/>
    <x v="12"/>
    <x v="12"/>
  </r>
  <r>
    <x v="3"/>
    <x v="1"/>
    <x v="11"/>
    <x v="13"/>
    <x v="13"/>
  </r>
  <r>
    <x v="3"/>
    <x v="2"/>
    <x v="12"/>
    <x v="14"/>
    <x v="14"/>
  </r>
  <r>
    <x v="3"/>
    <x v="3"/>
    <x v="13"/>
    <x v="15"/>
    <x v="15"/>
  </r>
  <r>
    <x v="4"/>
    <x v="0"/>
    <x v="14"/>
    <x v="16"/>
    <x v="16"/>
  </r>
  <r>
    <x v="4"/>
    <x v="1"/>
    <x v="15"/>
    <x v="17"/>
    <x v="17"/>
  </r>
  <r>
    <x v="4"/>
    <x v="2"/>
    <x v="16"/>
    <x v="18"/>
    <x v="18"/>
  </r>
  <r>
    <x v="4"/>
    <x v="3"/>
    <x v="12"/>
    <x v="19"/>
    <x v="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25023267.399999999"/>
  </r>
  <r>
    <n v="28043499.780000001"/>
  </r>
  <r>
    <n v="25820770.219999999"/>
  </r>
  <r>
    <n v="26170734.359999999"/>
  </r>
  <r>
    <n v="26256338.260000002"/>
  </r>
  <r>
    <n v="29742325.52"/>
  </r>
  <r>
    <n v="27887246.600000001"/>
  </r>
  <r>
    <n v="27893770.559999999"/>
  </r>
  <r>
    <n v="29336447"/>
  </r>
  <r>
    <n v="27897652.739999998"/>
  </r>
  <r>
    <n v="30007130.199999999"/>
  </r>
  <r>
    <n v="28375482.579999998"/>
  </r>
  <r>
    <n v="28909683.620000001"/>
  </r>
  <r>
    <n v="29336960.16"/>
  </r>
  <r>
    <n v="30342018"/>
  </r>
  <r>
    <n v="27432423.699999999"/>
  </r>
  <r>
    <n v="28682837.940000001"/>
  </r>
  <r>
    <n v="26694870.620000001"/>
  </r>
  <r>
    <n v="29213109.420000002"/>
  </r>
  <r>
    <n v="30887936.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73D5E-9056-E74F-8299-E95C6266664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25:R39" firstHeaderRow="1" firstDataRow="2" firstDataCol="1"/>
  <pivotFields count="7">
    <pivotField axis="axisCol" showAll="0">
      <items count="6">
        <item x="0"/>
        <item x="1"/>
        <item x="2"/>
        <item x="3"/>
        <item x="4"/>
        <item t="default"/>
      </items>
    </pivotField>
    <pivotField axis="axisRow" numFmtId="164" showAll="0">
      <items count="5">
        <item x="0"/>
        <item x="1"/>
        <item x="2"/>
        <item x="3"/>
        <item t="default"/>
      </items>
    </pivotField>
    <pivotField showAll="0"/>
    <pivotField dataField="1" numFmtId="165" showAll="0"/>
    <pivotField numFmtId="165"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3">
    <field x="6"/>
    <field x="5"/>
    <field x="1"/>
  </rowFields>
  <rowItems count="13">
    <i>
      <x v="1"/>
    </i>
    <i r="1">
      <x v="1"/>
    </i>
    <i r="2">
      <x/>
    </i>
    <i>
      <x v="4"/>
    </i>
    <i r="1">
      <x v="92"/>
    </i>
    <i r="2">
      <x v="1"/>
    </i>
    <i>
      <x v="7"/>
    </i>
    <i r="1">
      <x v="183"/>
    </i>
    <i r="2">
      <x v="2"/>
    </i>
    <i>
      <x v="10"/>
    </i>
    <i r="1">
      <x v="275"/>
    </i>
    <i r="2">
      <x v="3"/>
    </i>
    <i t="grand">
      <x/>
    </i>
  </rowItems>
  <colFields count="1">
    <field x="0"/>
  </colFields>
  <colItems count="6">
    <i>
      <x/>
    </i>
    <i>
      <x v="1"/>
    </i>
    <i>
      <x v="2"/>
    </i>
    <i>
      <x v="3"/>
    </i>
    <i>
      <x v="4"/>
    </i>
    <i t="grand">
      <x/>
    </i>
  </colItems>
  <dataFields count="1">
    <dataField name="Sum of average cost" fld="3" baseField="0" baseItem="0"/>
  </dataFields>
  <formats count="10">
    <format dxfId="9">
      <pivotArea field="6" type="button" dataOnly="0" labelOnly="1" outline="0" axis="axisRow" fieldPosition="0"/>
    </format>
    <format dxfId="8">
      <pivotArea dataOnly="0" labelOnly="1" fieldPosition="0">
        <references count="1">
          <reference field="6" count="4">
            <x v="1"/>
            <x v="4"/>
            <x v="7"/>
            <x v="10"/>
          </reference>
        </references>
      </pivotArea>
    </format>
    <format dxfId="7">
      <pivotArea dataOnly="0" labelOnly="1" fieldPosition="0">
        <references count="2">
          <reference field="5" count="1">
            <x v="1"/>
          </reference>
          <reference field="6" count="1" selected="0">
            <x v="1"/>
          </reference>
        </references>
      </pivotArea>
    </format>
    <format dxfId="6">
      <pivotArea dataOnly="0" labelOnly="1" fieldPosition="0">
        <references count="2">
          <reference field="5" count="1">
            <x v="92"/>
          </reference>
          <reference field="6" count="1" selected="0">
            <x v="4"/>
          </reference>
        </references>
      </pivotArea>
    </format>
    <format dxfId="5">
      <pivotArea dataOnly="0" labelOnly="1" fieldPosition="0">
        <references count="2">
          <reference field="5" count="1">
            <x v="183"/>
          </reference>
          <reference field="6" count="1" selected="0">
            <x v="7"/>
          </reference>
        </references>
      </pivotArea>
    </format>
    <format dxfId="4">
      <pivotArea dataOnly="0" labelOnly="1" fieldPosition="0">
        <references count="2">
          <reference field="5" count="1">
            <x v="275"/>
          </reference>
          <reference field="6" count="1" selected="0">
            <x v="10"/>
          </reference>
        </references>
      </pivotArea>
    </format>
    <format dxfId="3">
      <pivotArea dataOnly="0" labelOnly="1" fieldPosition="0">
        <references count="3">
          <reference field="1" count="1">
            <x v="0"/>
          </reference>
          <reference field="5" count="1" selected="0">
            <x v="1"/>
          </reference>
          <reference field="6" count="1" selected="0">
            <x v="1"/>
          </reference>
        </references>
      </pivotArea>
    </format>
    <format dxfId="2">
      <pivotArea dataOnly="0" labelOnly="1" fieldPosition="0">
        <references count="3">
          <reference field="1" count="1">
            <x v="1"/>
          </reference>
          <reference field="5" count="1" selected="0">
            <x v="92"/>
          </reference>
          <reference field="6" count="1" selected="0">
            <x v="4"/>
          </reference>
        </references>
      </pivotArea>
    </format>
    <format dxfId="1">
      <pivotArea dataOnly="0" labelOnly="1" fieldPosition="0">
        <references count="3">
          <reference field="1" count="1">
            <x v="2"/>
          </reference>
          <reference field="5" count="1" selected="0">
            <x v="183"/>
          </reference>
          <reference field="6" count="1" selected="0">
            <x v="7"/>
          </reference>
        </references>
      </pivotArea>
    </format>
    <format dxfId="0">
      <pivotArea dataOnly="0" labelOnly="1" fieldPosition="0">
        <references count="3">
          <reference field="1" count="1">
            <x v="3"/>
          </reference>
          <reference field="5" count="1" selected="0">
            <x v="275"/>
          </reference>
          <reference field="6" count="1" selected="0">
            <x v="10"/>
          </reference>
        </references>
      </pivotArea>
    </format>
  </formats>
  <chartFormats count="1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 chart="4" format="3" series="1">
      <pivotArea type="data" outline="0" fieldPosition="0">
        <references count="2">
          <reference field="4294967294" count="1" selected="0">
            <x v="0"/>
          </reference>
          <reference field="0" count="1" selected="0">
            <x v="3"/>
          </reference>
        </references>
      </pivotArea>
    </chartFormat>
    <chartFormat chart="4" format="4" series="1">
      <pivotArea type="data" outline="0" fieldPosition="0">
        <references count="2">
          <reference field="4294967294" count="1" selected="0">
            <x v="0"/>
          </reference>
          <reference field="0" count="1" selected="0">
            <x v="4"/>
          </reference>
        </references>
      </pivotArea>
    </chartFormat>
    <chartFormat chart="6" format="10" series="1">
      <pivotArea type="data" outline="0" fieldPosition="0">
        <references count="2">
          <reference field="4294967294" count="1" selected="0">
            <x v="0"/>
          </reference>
          <reference field="0" count="1" selected="0">
            <x v="0"/>
          </reference>
        </references>
      </pivotArea>
    </chartFormat>
    <chartFormat chart="6" format="11" series="1">
      <pivotArea type="data" outline="0" fieldPosition="0">
        <references count="2">
          <reference field="4294967294" count="1" selected="0">
            <x v="0"/>
          </reference>
          <reference field="0" count="1" selected="0">
            <x v="1"/>
          </reference>
        </references>
      </pivotArea>
    </chartFormat>
    <chartFormat chart="6" format="12" series="1">
      <pivotArea type="data" outline="0" fieldPosition="0">
        <references count="2">
          <reference field="4294967294" count="1" selected="0">
            <x v="0"/>
          </reference>
          <reference field="0" count="1" selected="0">
            <x v="2"/>
          </reference>
        </references>
      </pivotArea>
    </chartFormat>
    <chartFormat chart="6" format="13" series="1">
      <pivotArea type="data" outline="0" fieldPosition="0">
        <references count="2">
          <reference field="4294967294" count="1" selected="0">
            <x v="0"/>
          </reference>
          <reference field="0" count="1" selected="0">
            <x v="3"/>
          </reference>
        </references>
      </pivotArea>
    </chartFormat>
    <chartFormat chart="6"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5163E4-BFD1-8941-B99E-5014C0A9DBD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1:N7" firstHeaderRow="0" firstDataRow="1" firstDataCol="1"/>
  <pivotFields count="7">
    <pivotField axis="axisRow" showAll="0">
      <items count="6">
        <item x="0"/>
        <item x="1"/>
        <item x="2"/>
        <item x="3"/>
        <item x="4"/>
        <item t="default"/>
      </items>
    </pivotField>
    <pivotField numFmtId="164" showAll="0">
      <items count="5">
        <item x="0"/>
        <item x="1"/>
        <item x="2"/>
        <item x="3"/>
        <item t="default"/>
      </items>
    </pivotField>
    <pivotField dataField="1" showAll="0"/>
    <pivotField dataField="1"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6">
    <i>
      <x/>
    </i>
    <i>
      <x v="1"/>
    </i>
    <i>
      <x v="2"/>
    </i>
    <i>
      <x v="3"/>
    </i>
    <i>
      <x v="4"/>
    </i>
    <i t="grand">
      <x/>
    </i>
  </rowItems>
  <colFields count="1">
    <field x="-2"/>
  </colFields>
  <colItems count="2">
    <i>
      <x/>
    </i>
    <i i="1">
      <x v="1"/>
    </i>
  </colItems>
  <dataFields count="2">
    <dataField name="Sum of average cost" fld="3" baseField="0" baseItem="0"/>
    <dataField name="Sum of total visits"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5E87C1-F108-464C-91A5-E8DD438CBAD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J34" firstHeaderRow="1" firstDataRow="1" firstDataCol="1"/>
  <pivotFields count="7">
    <pivotField axis="axisRow" showAll="0">
      <items count="6">
        <item x="0"/>
        <item x="1"/>
        <item x="2"/>
        <item x="3"/>
        <item x="4"/>
        <item t="default"/>
      </items>
    </pivotField>
    <pivotField axis="axisRow" numFmtId="164" showAll="0">
      <items count="5">
        <item x="0"/>
        <item x="1"/>
        <item x="2"/>
        <item x="3"/>
        <item t="default"/>
      </items>
    </pivotField>
    <pivotField showAll="0"/>
    <pivotField numFmtId="165" showAll="0"/>
    <pivotField dataField="1" numFmtId="165"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4">
    <field x="6"/>
    <field x="5"/>
    <field x="1"/>
    <field x="0"/>
  </rowFields>
  <rowItems count="33">
    <i>
      <x v="1"/>
    </i>
    <i r="1">
      <x v="1"/>
    </i>
    <i r="2">
      <x/>
    </i>
    <i r="3">
      <x/>
    </i>
    <i r="3">
      <x v="1"/>
    </i>
    <i r="3">
      <x v="2"/>
    </i>
    <i r="3">
      <x v="3"/>
    </i>
    <i r="3">
      <x v="4"/>
    </i>
    <i>
      <x v="4"/>
    </i>
    <i r="1">
      <x v="92"/>
    </i>
    <i r="2">
      <x v="1"/>
    </i>
    <i r="3">
      <x/>
    </i>
    <i r="3">
      <x v="1"/>
    </i>
    <i r="3">
      <x v="2"/>
    </i>
    <i r="3">
      <x v="3"/>
    </i>
    <i r="3">
      <x v="4"/>
    </i>
    <i>
      <x v="7"/>
    </i>
    <i r="1">
      <x v="183"/>
    </i>
    <i r="2">
      <x v="2"/>
    </i>
    <i r="3">
      <x/>
    </i>
    <i r="3">
      <x v="1"/>
    </i>
    <i r="3">
      <x v="2"/>
    </i>
    <i r="3">
      <x v="3"/>
    </i>
    <i r="3">
      <x v="4"/>
    </i>
    <i>
      <x v="10"/>
    </i>
    <i r="1">
      <x v="275"/>
    </i>
    <i r="2">
      <x v="3"/>
    </i>
    <i r="3">
      <x/>
    </i>
    <i r="3">
      <x v="1"/>
    </i>
    <i r="3">
      <x v="2"/>
    </i>
    <i r="3">
      <x v="3"/>
    </i>
    <i r="3">
      <x v="4"/>
    </i>
    <i t="grand">
      <x/>
    </i>
  </rowItems>
  <colItems count="1">
    <i/>
  </colItems>
  <dataFields count="1">
    <dataField name="Sum of total cost" fld="4" baseField="0" baseItem="0"/>
  </dataFields>
  <chartFormats count="4">
    <chartFormat chart="2"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12AE7E-B127-9F4B-862E-4AEA7055F922}"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A24" firstHeaderRow="1" firstDataRow="1" firstDataCol="0"/>
  <pivotFields count="1">
    <pivotField dataField="1" numFmtId="165" showAll="0"/>
  </pivotFields>
  <rowItems count="1">
    <i/>
  </rowItems>
  <colItems count="1">
    <i/>
  </colItems>
  <dataFields count="1">
    <dataField name="Sum of total cost" fld="0" baseField="0" baseItem="0"/>
  </dataFields>
  <chartFormats count="4">
    <chartFormat chart="2" format="5"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FD191F-D5A0-2F42-94E6-B1E0CB7D30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K16" firstHeaderRow="1" firstDataRow="1" firstDataCol="1"/>
  <pivotFields count="5">
    <pivotField axis="axisRow" showAll="0">
      <items count="7">
        <item x="0"/>
        <item x="1"/>
        <item x="2"/>
        <item x="3"/>
        <item x="4"/>
        <item x="5"/>
        <item t="default"/>
      </items>
    </pivotField>
    <pivotField axis="axisRow" showAll="0">
      <items count="3">
        <item x="0"/>
        <item x="1"/>
        <item t="default"/>
      </items>
    </pivotField>
    <pivotField showAll="0"/>
    <pivotField showAll="0"/>
    <pivotField dataField="1" showAll="0">
      <items count="13">
        <item x="9"/>
        <item x="8"/>
        <item x="3"/>
        <item x="2"/>
        <item x="5"/>
        <item x="7"/>
        <item x="11"/>
        <item x="10"/>
        <item x="0"/>
        <item x="6"/>
        <item x="4"/>
        <item x="1"/>
        <item t="default"/>
      </items>
    </pivotField>
  </pivotFields>
  <rowFields count="2">
    <field x="1"/>
    <field x="0"/>
  </rowFields>
  <rowItems count="15">
    <i>
      <x/>
    </i>
    <i r="1">
      <x/>
    </i>
    <i r="1">
      <x v="1"/>
    </i>
    <i r="1">
      <x v="2"/>
    </i>
    <i r="1">
      <x v="3"/>
    </i>
    <i r="1">
      <x v="4"/>
    </i>
    <i r="1">
      <x v="5"/>
    </i>
    <i>
      <x v="1"/>
    </i>
    <i r="1">
      <x/>
    </i>
    <i r="1">
      <x v="1"/>
    </i>
    <i r="1">
      <x v="2"/>
    </i>
    <i r="1">
      <x v="3"/>
    </i>
    <i r="1">
      <x v="4"/>
    </i>
    <i r="1">
      <x v="5"/>
    </i>
    <i t="grand">
      <x/>
    </i>
  </rowItems>
  <colItems count="1">
    <i/>
  </colItems>
  <dataFields count="1">
    <dataField name="Sum of positive results" fld="4" baseField="0" baseItem="0"/>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26D830-DC15-8546-A4A3-B06DC6C3A2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I8" firstHeaderRow="1" firstDataRow="1" firstDataCol="1"/>
  <pivotFields count="5">
    <pivotField axis="axisRow" showAll="0">
      <items count="7">
        <item x="0"/>
        <item x="1"/>
        <item x="2"/>
        <item x="3"/>
        <item x="4"/>
        <item x="5"/>
        <item t="default"/>
      </items>
    </pivotField>
    <pivotField showAll="0"/>
    <pivotField dataField="1" showAll="0">
      <items count="12">
        <item x="2"/>
        <item x="4"/>
        <item x="10"/>
        <item x="8"/>
        <item x="1"/>
        <item x="5"/>
        <item x="3"/>
        <item x="9"/>
        <item x="6"/>
        <item x="7"/>
        <item x="0"/>
        <item t="default"/>
      </items>
    </pivotField>
    <pivotField showAll="0"/>
    <pivotField showAll="0">
      <items count="13">
        <item x="9"/>
        <item x="8"/>
        <item x="3"/>
        <item x="2"/>
        <item x="5"/>
        <item x="7"/>
        <item x="11"/>
        <item x="10"/>
        <item x="0"/>
        <item x="6"/>
        <item x="4"/>
        <item x="1"/>
        <item t="default"/>
      </items>
    </pivotField>
  </pivotFields>
  <rowFields count="1">
    <field x="0"/>
  </rowFields>
  <rowItems count="7">
    <i>
      <x/>
    </i>
    <i>
      <x v="1"/>
    </i>
    <i>
      <x v="2"/>
    </i>
    <i>
      <x v="3"/>
    </i>
    <i>
      <x v="4"/>
    </i>
    <i>
      <x v="5"/>
    </i>
    <i t="grand">
      <x/>
    </i>
  </rowItems>
  <colItems count="1">
    <i/>
  </colItems>
  <dataFields count="1">
    <dataField name="Sum of total patient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condition" xr10:uid="{B27BF4C9-4CB6-764D-AF53-2DFDB81B5C3F}" sourceName="medicalcondition">
  <pivotTables>
    <pivotTable tabId="3" name="PivotTable1"/>
    <pivotTable tabId="3" name="PivotTable2"/>
  </pivotTables>
  <data>
    <tabular pivotCacheId="1177958400">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 xr10:uid="{EE83FA7B-CAC8-0E4B-8555-B47A859BACE7}" sourceName="insurance">
  <pivotTables>
    <pivotTable tabId="4" name="PivotTable6"/>
    <pivotTable tabId="4" name="PivotTable8"/>
    <pivotTable tabId="4" name="PivotTable9"/>
  </pivotTables>
  <data>
    <tabular pivotCacheId="1278131338">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8EBD9AD-E26E-014C-854B-7D1409675604}" sourceName="quarter">
  <pivotTables>
    <pivotTable tabId="4" name="PivotTable6"/>
    <pivotTable tabId="4" name="PivotTable8"/>
    <pivotTable tabId="4" name="PivotTable9"/>
  </pivotTables>
  <data>
    <tabular pivotCacheId="127813133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 1" xr10:uid="{9591E06F-594D-E744-818A-19D0A7ED4FDA}" cache="Slicer_insurance" caption="insurance" rowHeight="251883"/>
  <slicer name="quarter 1" xr10:uid="{65A2E16D-34D7-044B-9750-CE32D5CC073B}" cache="Slicer_quarter" caption="quart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condition 1" xr10:uid="{CC95849B-4696-0447-8701-C8B0761BBEA4}" cache="Slicer_medicalcondition" caption="medicalconditi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urance" xr10:uid="{4F430DB2-EECC-0F45-B968-CE62A2597571}" cache="Slicer_insurance" caption="insurance" rowHeight="251883"/>
  <slicer name="quarter" xr10:uid="{ABC35B80-A0CB-7343-8F9F-16ED6417631F}" cache="Slicer_quarter" caption="quarter"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condition" xr10:uid="{C78FB365-7D01-634C-B137-9BC7C790F9F7}" cache="Slicer_medicalcondition" caption="medicalcondition" rowHeight="251883"/>
</slicers>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26D67-ABFC-2D49-B86B-36EEB8D317CB}">
  <dimension ref="E44"/>
  <sheetViews>
    <sheetView showGridLines="0" zoomScale="71" zoomScaleNormal="71" workbookViewId="0">
      <selection activeCell="Z33" sqref="Z33"/>
    </sheetView>
  </sheetViews>
  <sheetFormatPr baseColWidth="10" defaultRowHeight="16" x14ac:dyDescent="0.2"/>
  <cols>
    <col min="1" max="16384" width="10.83203125" style="6"/>
  </cols>
  <sheetData>
    <row r="44" spans="5:5" ht="18" x14ac:dyDescent="0.25">
      <c r="E4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3DF44-82C6-C84D-B149-729980D80748}">
  <dimension ref="E44"/>
  <sheetViews>
    <sheetView showGridLines="0" zoomScale="80" zoomScaleNormal="80" workbookViewId="0">
      <selection activeCell="X52" sqref="X52"/>
    </sheetView>
  </sheetViews>
  <sheetFormatPr baseColWidth="10" defaultRowHeight="16" x14ac:dyDescent="0.2"/>
  <cols>
    <col min="1" max="16384" width="10.83203125" style="6"/>
  </cols>
  <sheetData>
    <row r="44" spans="5:5" ht="18" x14ac:dyDescent="0.25">
      <c r="E4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A496F-EF4B-4948-9E54-B1EDDC90B5E2}">
  <dimension ref="A1:R40"/>
  <sheetViews>
    <sheetView topLeftCell="B8" zoomScaleNormal="100" zoomScaleSheetLayoutView="110" workbookViewId="0">
      <selection activeCell="A23" sqref="A23:A24"/>
    </sheetView>
  </sheetViews>
  <sheetFormatPr baseColWidth="10" defaultRowHeight="16" x14ac:dyDescent="0.2"/>
  <cols>
    <col min="1" max="1" width="15" bestFit="1" customWidth="1"/>
    <col min="2" max="2" width="10.83203125" style="4"/>
    <col min="4" max="4" width="10.83203125" style="5"/>
    <col min="5" max="5" width="13.6640625" style="5" bestFit="1" customWidth="1"/>
    <col min="9" max="9" width="22" bestFit="1" customWidth="1"/>
    <col min="10" max="10" width="15" bestFit="1" customWidth="1"/>
    <col min="12" max="12" width="17.83203125" bestFit="1" customWidth="1"/>
    <col min="13" max="13" width="16" bestFit="1" customWidth="1"/>
    <col min="14" max="15" width="10.1640625" bestFit="1" customWidth="1"/>
    <col min="16" max="16" width="9.1640625" bestFit="1" customWidth="1"/>
    <col min="17" max="17" width="15.6640625" bestFit="1" customWidth="1"/>
    <col min="18" max="18" width="10.5" bestFit="1" customWidth="1"/>
  </cols>
  <sheetData>
    <row r="1" spans="1:14" x14ac:dyDescent="0.2">
      <c r="A1" t="s">
        <v>16</v>
      </c>
      <c r="B1" s="4" t="s">
        <v>17</v>
      </c>
      <c r="C1" t="s">
        <v>18</v>
      </c>
      <c r="D1" s="5" t="s">
        <v>19</v>
      </c>
      <c r="E1" s="5" t="s">
        <v>20</v>
      </c>
      <c r="I1" s="1" t="s">
        <v>12</v>
      </c>
      <c r="J1" t="s">
        <v>36</v>
      </c>
      <c r="L1" s="1" t="s">
        <v>12</v>
      </c>
      <c r="M1" t="s">
        <v>26</v>
      </c>
      <c r="N1" t="s">
        <v>37</v>
      </c>
    </row>
    <row r="2" spans="1:14" x14ac:dyDescent="0.2">
      <c r="A2" t="s">
        <v>21</v>
      </c>
      <c r="B2" s="4">
        <v>44927</v>
      </c>
      <c r="C2">
        <v>1000</v>
      </c>
      <c r="D2" s="5">
        <v>25023.27</v>
      </c>
      <c r="E2" s="5">
        <v>25023267.399999999</v>
      </c>
      <c r="I2" s="2" t="s">
        <v>28</v>
      </c>
      <c r="J2">
        <v>138208574.22</v>
      </c>
      <c r="L2" s="2" t="s">
        <v>21</v>
      </c>
      <c r="M2">
        <v>100706.91</v>
      </c>
      <c r="N2">
        <v>4172</v>
      </c>
    </row>
    <row r="3" spans="1:14" x14ac:dyDescent="0.2">
      <c r="A3" t="s">
        <v>21</v>
      </c>
      <c r="B3" s="4">
        <v>45017</v>
      </c>
      <c r="C3">
        <v>1104</v>
      </c>
      <c r="D3" s="5">
        <v>25401.72</v>
      </c>
      <c r="E3" s="5">
        <v>28043499.780000001</v>
      </c>
      <c r="I3" s="3" t="s">
        <v>29</v>
      </c>
      <c r="J3">
        <v>138208574.22</v>
      </c>
      <c r="L3" s="2" t="s">
        <v>22</v>
      </c>
      <c r="M3">
        <v>103244.62000000001</v>
      </c>
      <c r="N3">
        <v>4332</v>
      </c>
    </row>
    <row r="4" spans="1:14" x14ac:dyDescent="0.2">
      <c r="A4" t="s">
        <v>21</v>
      </c>
      <c r="B4" s="4">
        <v>45108</v>
      </c>
      <c r="C4">
        <v>1034</v>
      </c>
      <c r="D4" s="5">
        <v>24971.73</v>
      </c>
      <c r="E4" s="5">
        <v>25820770.219999999</v>
      </c>
      <c r="I4" s="9">
        <v>44927</v>
      </c>
      <c r="J4">
        <v>138208574.22</v>
      </c>
      <c r="L4" s="2" t="s">
        <v>23</v>
      </c>
      <c r="M4">
        <v>102038.26999999999</v>
      </c>
      <c r="N4">
        <v>4536</v>
      </c>
    </row>
    <row r="5" spans="1:14" x14ac:dyDescent="0.2">
      <c r="A5" t="s">
        <v>21</v>
      </c>
      <c r="B5" s="4">
        <v>45200</v>
      </c>
      <c r="C5">
        <v>1034</v>
      </c>
      <c r="D5" s="5">
        <v>25310.19</v>
      </c>
      <c r="E5" s="5">
        <v>26170734.359999999</v>
      </c>
      <c r="I5" s="10" t="s">
        <v>21</v>
      </c>
      <c r="J5">
        <v>25023267.399999999</v>
      </c>
      <c r="L5" s="2" t="s">
        <v>24</v>
      </c>
      <c r="M5">
        <v>102842.3</v>
      </c>
      <c r="N5">
        <v>4516</v>
      </c>
    </row>
    <row r="6" spans="1:14" x14ac:dyDescent="0.2">
      <c r="A6" t="s">
        <v>22</v>
      </c>
      <c r="B6" s="4">
        <v>44927</v>
      </c>
      <c r="C6">
        <v>1016</v>
      </c>
      <c r="D6" s="5">
        <v>25842.85</v>
      </c>
      <c r="E6" s="5">
        <v>26256338.260000002</v>
      </c>
      <c r="I6" s="10" t="s">
        <v>22</v>
      </c>
      <c r="J6">
        <v>26256338.260000002</v>
      </c>
      <c r="L6" s="2" t="s">
        <v>25</v>
      </c>
      <c r="M6">
        <v>102685.73999999999</v>
      </c>
      <c r="N6">
        <v>4496</v>
      </c>
    </row>
    <row r="7" spans="1:14" x14ac:dyDescent="0.2">
      <c r="A7" t="s">
        <v>22</v>
      </c>
      <c r="B7" s="4">
        <v>45017</v>
      </c>
      <c r="C7">
        <v>1162</v>
      </c>
      <c r="D7" s="5">
        <v>25595.81</v>
      </c>
      <c r="E7" s="5">
        <v>29742325.52</v>
      </c>
      <c r="I7" s="10" t="s">
        <v>23</v>
      </c>
      <c r="J7">
        <v>29336447</v>
      </c>
      <c r="L7" s="2" t="s">
        <v>13</v>
      </c>
      <c r="M7">
        <v>511517.84</v>
      </c>
      <c r="N7">
        <v>22052</v>
      </c>
    </row>
    <row r="8" spans="1:14" x14ac:dyDescent="0.2">
      <c r="A8" t="s">
        <v>22</v>
      </c>
      <c r="B8" s="4">
        <v>45108</v>
      </c>
      <c r="C8">
        <v>1094</v>
      </c>
      <c r="D8" s="5">
        <v>25491.08</v>
      </c>
      <c r="E8" s="5">
        <v>27887246.600000001</v>
      </c>
      <c r="I8" s="10" t="s">
        <v>24</v>
      </c>
      <c r="J8">
        <v>28909683.620000001</v>
      </c>
    </row>
    <row r="9" spans="1:14" x14ac:dyDescent="0.2">
      <c r="A9" t="s">
        <v>22</v>
      </c>
      <c r="B9" s="4">
        <v>45200</v>
      </c>
      <c r="C9">
        <v>1060</v>
      </c>
      <c r="D9" s="5">
        <v>26314.880000000001</v>
      </c>
      <c r="E9" s="5">
        <v>27893770.559999999</v>
      </c>
      <c r="I9" s="10" t="s">
        <v>25</v>
      </c>
      <c r="J9">
        <v>28682837.940000001</v>
      </c>
    </row>
    <row r="10" spans="1:14" x14ac:dyDescent="0.2">
      <c r="A10" t="s">
        <v>23</v>
      </c>
      <c r="B10" s="4">
        <v>44927</v>
      </c>
      <c r="C10">
        <v>1164</v>
      </c>
      <c r="D10" s="5">
        <v>25203.13</v>
      </c>
      <c r="E10" s="5">
        <v>29336447</v>
      </c>
      <c r="I10" s="2" t="s">
        <v>30</v>
      </c>
      <c r="J10">
        <v>141715308.81999999</v>
      </c>
    </row>
    <row r="11" spans="1:14" x14ac:dyDescent="0.2">
      <c r="A11" t="s">
        <v>23</v>
      </c>
      <c r="B11" s="4">
        <v>45017</v>
      </c>
      <c r="C11">
        <v>1058</v>
      </c>
      <c r="D11" s="5">
        <v>26368.29</v>
      </c>
      <c r="E11" s="5">
        <v>27897652.739999998</v>
      </c>
      <c r="I11" s="3" t="s">
        <v>31</v>
      </c>
      <c r="J11">
        <v>141715308.81999999</v>
      </c>
    </row>
    <row r="12" spans="1:14" x14ac:dyDescent="0.2">
      <c r="A12" t="s">
        <v>23</v>
      </c>
      <c r="B12" s="4">
        <v>45108</v>
      </c>
      <c r="C12">
        <v>1194</v>
      </c>
      <c r="D12" s="5">
        <v>25131.599999999999</v>
      </c>
      <c r="E12" s="5">
        <v>30007130.199999999</v>
      </c>
      <c r="I12" s="9">
        <v>45017</v>
      </c>
      <c r="J12">
        <v>141715308.81999999</v>
      </c>
    </row>
    <row r="13" spans="1:14" x14ac:dyDescent="0.2">
      <c r="A13" t="s">
        <v>23</v>
      </c>
      <c r="B13" s="4">
        <v>45200</v>
      </c>
      <c r="C13">
        <v>1120</v>
      </c>
      <c r="D13" s="5">
        <v>25335.25</v>
      </c>
      <c r="E13" s="5">
        <v>28375482.579999998</v>
      </c>
      <c r="I13" s="10" t="s">
        <v>21</v>
      </c>
      <c r="J13">
        <v>28043499.780000001</v>
      </c>
    </row>
    <row r="14" spans="1:14" x14ac:dyDescent="0.2">
      <c r="A14" t="s">
        <v>24</v>
      </c>
      <c r="B14" s="4">
        <v>44927</v>
      </c>
      <c r="C14">
        <v>1164</v>
      </c>
      <c r="D14" s="5">
        <v>24836.5</v>
      </c>
      <c r="E14" s="5">
        <v>28909683.620000001</v>
      </c>
      <c r="I14" s="10" t="s">
        <v>22</v>
      </c>
      <c r="J14">
        <v>29742325.52</v>
      </c>
    </row>
    <row r="15" spans="1:14" x14ac:dyDescent="0.2">
      <c r="A15" t="s">
        <v>24</v>
      </c>
      <c r="B15" s="4">
        <v>45017</v>
      </c>
      <c r="C15">
        <v>1166</v>
      </c>
      <c r="D15" s="5">
        <v>25160.34</v>
      </c>
      <c r="E15" s="5">
        <v>29336960.16</v>
      </c>
      <c r="I15" s="10" t="s">
        <v>23</v>
      </c>
      <c r="J15">
        <v>27897652.739999998</v>
      </c>
    </row>
    <row r="16" spans="1:14" x14ac:dyDescent="0.2">
      <c r="A16" t="s">
        <v>24</v>
      </c>
      <c r="B16" s="4">
        <v>45108</v>
      </c>
      <c r="C16">
        <v>1142</v>
      </c>
      <c r="D16" s="5">
        <v>26569.19</v>
      </c>
      <c r="E16" s="5">
        <v>30342018</v>
      </c>
      <c r="I16" s="10" t="s">
        <v>24</v>
      </c>
      <c r="J16">
        <v>29336960.16</v>
      </c>
    </row>
    <row r="17" spans="1:18" x14ac:dyDescent="0.2">
      <c r="A17" t="s">
        <v>24</v>
      </c>
      <c r="B17" s="4">
        <v>45200</v>
      </c>
      <c r="C17">
        <v>1044</v>
      </c>
      <c r="D17" s="5">
        <v>26276.27</v>
      </c>
      <c r="E17" s="5">
        <v>27432423.699999999</v>
      </c>
      <c r="I17" s="10" t="s">
        <v>25</v>
      </c>
      <c r="J17">
        <v>26694870.620000001</v>
      </c>
    </row>
    <row r="18" spans="1:18" x14ac:dyDescent="0.2">
      <c r="A18" t="s">
        <v>25</v>
      </c>
      <c r="B18" s="4">
        <v>44927</v>
      </c>
      <c r="C18">
        <v>1122</v>
      </c>
      <c r="D18" s="5">
        <v>25564.03</v>
      </c>
      <c r="E18" s="5">
        <v>28682837.940000001</v>
      </c>
      <c r="I18" s="2" t="s">
        <v>32</v>
      </c>
      <c r="J18">
        <v>143270274.44</v>
      </c>
    </row>
    <row r="19" spans="1:18" x14ac:dyDescent="0.2">
      <c r="A19" t="s">
        <v>25</v>
      </c>
      <c r="B19" s="4">
        <v>45017</v>
      </c>
      <c r="C19">
        <v>1082</v>
      </c>
      <c r="D19" s="5">
        <v>24671.78</v>
      </c>
      <c r="E19" s="5">
        <v>26694870.620000001</v>
      </c>
      <c r="I19" s="3" t="s">
        <v>33</v>
      </c>
      <c r="J19">
        <v>143270274.44</v>
      </c>
    </row>
    <row r="20" spans="1:18" x14ac:dyDescent="0.2">
      <c r="A20" t="s">
        <v>25</v>
      </c>
      <c r="B20" s="4">
        <v>45108</v>
      </c>
      <c r="C20">
        <v>1150</v>
      </c>
      <c r="D20" s="5">
        <v>25402.7</v>
      </c>
      <c r="E20" s="5">
        <v>29213109.420000002</v>
      </c>
      <c r="I20" s="9">
        <v>45108</v>
      </c>
      <c r="J20">
        <v>143270274.44</v>
      </c>
    </row>
    <row r="21" spans="1:18" x14ac:dyDescent="0.2">
      <c r="A21" t="s">
        <v>25</v>
      </c>
      <c r="B21" s="4">
        <v>45200</v>
      </c>
      <c r="C21">
        <v>1142</v>
      </c>
      <c r="D21" s="5">
        <v>27047.23</v>
      </c>
      <c r="E21" s="5">
        <v>30887936.48</v>
      </c>
      <c r="I21" s="10" t="s">
        <v>21</v>
      </c>
      <c r="J21">
        <v>25820770.219999999</v>
      </c>
    </row>
    <row r="22" spans="1:18" x14ac:dyDescent="0.2">
      <c r="I22" s="10" t="s">
        <v>22</v>
      </c>
      <c r="J22">
        <v>27887246.600000001</v>
      </c>
    </row>
    <row r="23" spans="1:18" x14ac:dyDescent="0.2">
      <c r="A23" t="s">
        <v>36</v>
      </c>
      <c r="B23"/>
      <c r="I23" s="10" t="s">
        <v>23</v>
      </c>
      <c r="J23">
        <v>30007130.199999999</v>
      </c>
    </row>
    <row r="24" spans="1:18" x14ac:dyDescent="0.2">
      <c r="A24">
        <v>563954505.15999997</v>
      </c>
      <c r="B24"/>
      <c r="I24" s="10" t="s">
        <v>24</v>
      </c>
      <c r="J24">
        <v>30342018</v>
      </c>
    </row>
    <row r="25" spans="1:18" x14ac:dyDescent="0.2">
      <c r="B25"/>
      <c r="I25" s="10" t="s">
        <v>25</v>
      </c>
      <c r="J25">
        <v>29213109.420000002</v>
      </c>
      <c r="L25" s="1" t="s">
        <v>26</v>
      </c>
      <c r="M25" s="1" t="s">
        <v>27</v>
      </c>
    </row>
    <row r="26" spans="1:18" x14ac:dyDescent="0.2">
      <c r="B26"/>
      <c r="I26" s="2" t="s">
        <v>34</v>
      </c>
      <c r="J26">
        <v>140760347.68000001</v>
      </c>
      <c r="L26" s="11" t="s">
        <v>12</v>
      </c>
      <c r="M26" t="s">
        <v>21</v>
      </c>
      <c r="N26" t="s">
        <v>22</v>
      </c>
      <c r="O26" t="s">
        <v>23</v>
      </c>
      <c r="P26" t="s">
        <v>24</v>
      </c>
      <c r="Q26" t="s">
        <v>25</v>
      </c>
      <c r="R26" t="s">
        <v>13</v>
      </c>
    </row>
    <row r="27" spans="1:18" x14ac:dyDescent="0.2">
      <c r="B27"/>
      <c r="I27" s="3" t="s">
        <v>35</v>
      </c>
      <c r="J27">
        <v>140760347.68000001</v>
      </c>
      <c r="L27" s="12" t="s">
        <v>28</v>
      </c>
      <c r="M27">
        <v>25023.27</v>
      </c>
      <c r="N27">
        <v>25842.85</v>
      </c>
      <c r="O27">
        <v>25203.13</v>
      </c>
      <c r="P27">
        <v>24836.5</v>
      </c>
      <c r="Q27">
        <v>25564.03</v>
      </c>
      <c r="R27">
        <v>126469.78</v>
      </c>
    </row>
    <row r="28" spans="1:18" x14ac:dyDescent="0.2">
      <c r="B28"/>
      <c r="I28" s="9">
        <v>45200</v>
      </c>
      <c r="J28">
        <v>140760347.68000001</v>
      </c>
      <c r="L28" s="13" t="s">
        <v>29</v>
      </c>
      <c r="M28">
        <v>25023.27</v>
      </c>
      <c r="N28">
        <v>25842.85</v>
      </c>
      <c r="O28">
        <v>25203.13</v>
      </c>
      <c r="P28">
        <v>24836.5</v>
      </c>
      <c r="Q28">
        <v>25564.03</v>
      </c>
      <c r="R28">
        <v>126469.78</v>
      </c>
    </row>
    <row r="29" spans="1:18" x14ac:dyDescent="0.2">
      <c r="B29"/>
      <c r="I29" s="10" t="s">
        <v>21</v>
      </c>
      <c r="J29">
        <v>26170734.359999999</v>
      </c>
      <c r="L29" s="14">
        <v>44927</v>
      </c>
      <c r="M29">
        <v>25023.27</v>
      </c>
      <c r="N29">
        <v>25842.85</v>
      </c>
      <c r="O29">
        <v>25203.13</v>
      </c>
      <c r="P29">
        <v>24836.5</v>
      </c>
      <c r="Q29">
        <v>25564.03</v>
      </c>
      <c r="R29">
        <v>126469.78</v>
      </c>
    </row>
    <row r="30" spans="1:18" x14ac:dyDescent="0.2">
      <c r="B30"/>
      <c r="I30" s="10" t="s">
        <v>22</v>
      </c>
      <c r="J30">
        <v>27893770.559999999</v>
      </c>
      <c r="L30" s="12" t="s">
        <v>30</v>
      </c>
      <c r="M30">
        <v>25401.72</v>
      </c>
      <c r="N30">
        <v>25595.81</v>
      </c>
      <c r="O30">
        <v>26368.29</v>
      </c>
      <c r="P30">
        <v>25160.34</v>
      </c>
      <c r="Q30">
        <v>24671.78</v>
      </c>
      <c r="R30">
        <v>127197.94</v>
      </c>
    </row>
    <row r="31" spans="1:18" x14ac:dyDescent="0.2">
      <c r="B31"/>
      <c r="I31" s="10" t="s">
        <v>23</v>
      </c>
      <c r="J31">
        <v>28375482.579999998</v>
      </c>
      <c r="L31" s="13" t="s">
        <v>31</v>
      </c>
      <c r="M31">
        <v>25401.72</v>
      </c>
      <c r="N31">
        <v>25595.81</v>
      </c>
      <c r="O31">
        <v>26368.29</v>
      </c>
      <c r="P31">
        <v>25160.34</v>
      </c>
      <c r="Q31">
        <v>24671.78</v>
      </c>
      <c r="R31">
        <v>127197.94</v>
      </c>
    </row>
    <row r="32" spans="1:18" x14ac:dyDescent="0.2">
      <c r="B32"/>
      <c r="I32" s="10" t="s">
        <v>24</v>
      </c>
      <c r="J32">
        <v>27432423.699999999</v>
      </c>
      <c r="L32" s="14">
        <v>45017</v>
      </c>
      <c r="M32">
        <v>25401.72</v>
      </c>
      <c r="N32">
        <v>25595.81</v>
      </c>
      <c r="O32">
        <v>26368.29</v>
      </c>
      <c r="P32">
        <v>25160.34</v>
      </c>
      <c r="Q32">
        <v>24671.78</v>
      </c>
      <c r="R32">
        <v>127197.94</v>
      </c>
    </row>
    <row r="33" spans="2:18" x14ac:dyDescent="0.2">
      <c r="B33"/>
      <c r="I33" s="10" t="s">
        <v>25</v>
      </c>
      <c r="J33">
        <v>30887936.48</v>
      </c>
      <c r="L33" s="12" t="s">
        <v>32</v>
      </c>
      <c r="M33">
        <v>24971.73</v>
      </c>
      <c r="N33">
        <v>25491.08</v>
      </c>
      <c r="O33">
        <v>25131.599999999999</v>
      </c>
      <c r="P33">
        <v>26569.19</v>
      </c>
      <c r="Q33">
        <v>25402.7</v>
      </c>
      <c r="R33">
        <v>127566.3</v>
      </c>
    </row>
    <row r="34" spans="2:18" x14ac:dyDescent="0.2">
      <c r="B34"/>
      <c r="I34" s="2" t="s">
        <v>13</v>
      </c>
      <c r="J34">
        <v>563954505.15999997</v>
      </c>
      <c r="L34" s="13" t="s">
        <v>33</v>
      </c>
      <c r="M34">
        <v>24971.73</v>
      </c>
      <c r="N34">
        <v>25491.08</v>
      </c>
      <c r="O34">
        <v>25131.599999999999</v>
      </c>
      <c r="P34">
        <v>26569.19</v>
      </c>
      <c r="Q34">
        <v>25402.7</v>
      </c>
      <c r="R34">
        <v>127566.3</v>
      </c>
    </row>
    <row r="35" spans="2:18" x14ac:dyDescent="0.2">
      <c r="B35"/>
      <c r="L35" s="14">
        <v>45108</v>
      </c>
      <c r="M35">
        <v>24971.73</v>
      </c>
      <c r="N35">
        <v>25491.08</v>
      </c>
      <c r="O35">
        <v>25131.599999999999</v>
      </c>
      <c r="P35">
        <v>26569.19</v>
      </c>
      <c r="Q35">
        <v>25402.7</v>
      </c>
      <c r="R35">
        <v>127566.3</v>
      </c>
    </row>
    <row r="36" spans="2:18" x14ac:dyDescent="0.2">
      <c r="B36"/>
      <c r="L36" s="12" t="s">
        <v>34</v>
      </c>
      <c r="M36">
        <v>25310.19</v>
      </c>
      <c r="N36">
        <v>26314.880000000001</v>
      </c>
      <c r="O36">
        <v>25335.25</v>
      </c>
      <c r="P36">
        <v>26276.27</v>
      </c>
      <c r="Q36">
        <v>27047.23</v>
      </c>
      <c r="R36">
        <v>130283.82</v>
      </c>
    </row>
    <row r="37" spans="2:18" x14ac:dyDescent="0.2">
      <c r="B37"/>
      <c r="L37" s="13" t="s">
        <v>35</v>
      </c>
      <c r="M37">
        <v>25310.19</v>
      </c>
      <c r="N37">
        <v>26314.880000000001</v>
      </c>
      <c r="O37">
        <v>25335.25</v>
      </c>
      <c r="P37">
        <v>26276.27</v>
      </c>
      <c r="Q37">
        <v>27047.23</v>
      </c>
      <c r="R37">
        <v>130283.82</v>
      </c>
    </row>
    <row r="38" spans="2:18" x14ac:dyDescent="0.2">
      <c r="B38"/>
      <c r="L38" s="14">
        <v>45200</v>
      </c>
      <c r="M38">
        <v>25310.19</v>
      </c>
      <c r="N38">
        <v>26314.880000000001</v>
      </c>
      <c r="O38">
        <v>25335.25</v>
      </c>
      <c r="P38">
        <v>26276.27</v>
      </c>
      <c r="Q38">
        <v>27047.23</v>
      </c>
      <c r="R38">
        <v>130283.82</v>
      </c>
    </row>
    <row r="39" spans="2:18" x14ac:dyDescent="0.2">
      <c r="B39"/>
      <c r="L39" s="2" t="s">
        <v>13</v>
      </c>
      <c r="M39">
        <v>100706.91</v>
      </c>
      <c r="N39">
        <v>103244.62000000001</v>
      </c>
      <c r="O39">
        <v>102038.26999999999</v>
      </c>
      <c r="P39">
        <v>102842.3</v>
      </c>
      <c r="Q39">
        <v>102685.73999999999</v>
      </c>
      <c r="R39">
        <v>511517.84</v>
      </c>
    </row>
    <row r="40" spans="2:18" x14ac:dyDescent="0.2">
      <c r="B40"/>
    </row>
  </sheetData>
  <autoFilter ref="E1:E21" xr:uid="{1C2A496F-EF4B-4948-9E54-B1EDDC90B5E2}"/>
  <pageMargins left="0.7" right="0.7" top="0.75" bottom="0.75" header="0.3" footer="0.3"/>
  <pageSetup orientation="portrait" horizontalDpi="0" verticalDpi="0"/>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FE382-68D5-AF46-8EB2-CBD9B7C51D61}">
  <dimension ref="A1:K16"/>
  <sheetViews>
    <sheetView tabSelected="1" workbookViewId="0">
      <selection activeCell="B17" sqref="B17"/>
    </sheetView>
  </sheetViews>
  <sheetFormatPr baseColWidth="10" defaultRowHeight="16" x14ac:dyDescent="0.2"/>
  <cols>
    <col min="1" max="1" width="18.5" customWidth="1"/>
    <col min="5" max="5" width="10.83203125" style="8"/>
    <col min="8" max="8" width="13" bestFit="1" customWidth="1"/>
    <col min="9" max="9" width="18.33203125" bestFit="1" customWidth="1"/>
    <col min="10" max="10" width="15.1640625" bestFit="1" customWidth="1"/>
    <col min="11" max="12" width="20" bestFit="1" customWidth="1"/>
  </cols>
  <sheetData>
    <row r="1" spans="1:11" x14ac:dyDescent="0.2">
      <c r="A1" t="s">
        <v>38</v>
      </c>
      <c r="B1" t="s">
        <v>0</v>
      </c>
      <c r="C1" t="s">
        <v>1</v>
      </c>
      <c r="D1" t="s">
        <v>2</v>
      </c>
      <c r="E1" s="8" t="s">
        <v>3</v>
      </c>
      <c r="H1" s="1" t="s">
        <v>12</v>
      </c>
      <c r="I1" t="s">
        <v>15</v>
      </c>
      <c r="J1" s="1" t="s">
        <v>12</v>
      </c>
      <c r="K1" t="s">
        <v>14</v>
      </c>
    </row>
    <row r="2" spans="1:11" x14ac:dyDescent="0.2">
      <c r="A2" t="s">
        <v>4</v>
      </c>
      <c r="B2" t="s">
        <v>5</v>
      </c>
      <c r="C2">
        <v>9372</v>
      </c>
      <c r="D2">
        <v>51.4</v>
      </c>
      <c r="E2" s="8">
        <v>34.037558685446001</v>
      </c>
      <c r="H2" s="2" t="s">
        <v>4</v>
      </c>
      <c r="I2" s="15">
        <v>18616</v>
      </c>
      <c r="J2" s="2" t="s">
        <v>5</v>
      </c>
      <c r="K2" s="15">
        <v>202.05661099367219</v>
      </c>
    </row>
    <row r="3" spans="1:11" x14ac:dyDescent="0.2">
      <c r="A3" t="s">
        <v>4</v>
      </c>
      <c r="B3" t="s">
        <v>6</v>
      </c>
      <c r="C3">
        <v>9244</v>
      </c>
      <c r="D3">
        <v>51.7</v>
      </c>
      <c r="E3" s="8">
        <v>34.465599307658998</v>
      </c>
      <c r="H3" s="2" t="s">
        <v>7</v>
      </c>
      <c r="I3" s="15">
        <v>18370</v>
      </c>
      <c r="J3" s="3" t="s">
        <v>4</v>
      </c>
      <c r="K3" s="15">
        <v>34.037558685446001</v>
      </c>
    </row>
    <row r="4" spans="1:11" x14ac:dyDescent="0.2">
      <c r="A4" t="s">
        <v>7</v>
      </c>
      <c r="B4" t="s">
        <v>5</v>
      </c>
      <c r="C4">
        <v>9106</v>
      </c>
      <c r="D4">
        <v>51.7</v>
      </c>
      <c r="E4" s="8">
        <v>32.813529540962001</v>
      </c>
      <c r="H4" s="2" t="s">
        <v>8</v>
      </c>
      <c r="I4" s="15">
        <v>18454</v>
      </c>
      <c r="J4" s="3" t="s">
        <v>7</v>
      </c>
      <c r="K4" s="15">
        <v>32.813529540962001</v>
      </c>
    </row>
    <row r="5" spans="1:11" x14ac:dyDescent="0.2">
      <c r="A5" t="s">
        <v>7</v>
      </c>
      <c r="B5" t="s">
        <v>6</v>
      </c>
      <c r="C5">
        <v>9264</v>
      </c>
      <c r="D5">
        <v>51.5</v>
      </c>
      <c r="E5" s="8">
        <v>32.707253886010299</v>
      </c>
      <c r="H5" s="2" t="s">
        <v>9</v>
      </c>
      <c r="I5" s="15">
        <v>18608</v>
      </c>
      <c r="J5" s="3" t="s">
        <v>8</v>
      </c>
      <c r="K5" s="15">
        <v>34.311169056931703</v>
      </c>
    </row>
    <row r="6" spans="1:11" x14ac:dyDescent="0.2">
      <c r="A6" t="s">
        <v>8</v>
      </c>
      <c r="B6" t="s">
        <v>5</v>
      </c>
      <c r="C6">
        <v>9204</v>
      </c>
      <c r="D6">
        <v>51.3</v>
      </c>
      <c r="E6" s="8">
        <v>34.311169056931703</v>
      </c>
      <c r="H6" s="2" t="s">
        <v>10</v>
      </c>
      <c r="I6" s="15">
        <v>18490</v>
      </c>
      <c r="J6" s="3" t="s">
        <v>9</v>
      </c>
      <c r="K6" s="15">
        <v>34.250698774457099</v>
      </c>
    </row>
    <row r="7" spans="1:11" x14ac:dyDescent="0.2">
      <c r="A7" t="s">
        <v>8</v>
      </c>
      <c r="B7" t="s">
        <v>6</v>
      </c>
      <c r="C7">
        <v>9250</v>
      </c>
      <c r="D7">
        <v>51.8</v>
      </c>
      <c r="E7" s="8">
        <v>33.2756756756756</v>
      </c>
      <c r="H7" s="2" t="s">
        <v>11</v>
      </c>
      <c r="I7" s="15">
        <v>18462</v>
      </c>
      <c r="J7" s="3" t="s">
        <v>10</v>
      </c>
      <c r="K7" s="15">
        <v>32.6973113616652</v>
      </c>
    </row>
    <row r="8" spans="1:11" x14ac:dyDescent="0.2">
      <c r="A8" t="s">
        <v>9</v>
      </c>
      <c r="B8" t="s">
        <v>5</v>
      </c>
      <c r="C8">
        <v>9302</v>
      </c>
      <c r="D8">
        <v>51.6</v>
      </c>
      <c r="E8" s="8">
        <v>34.250698774457099</v>
      </c>
      <c r="H8" s="2" t="s">
        <v>13</v>
      </c>
      <c r="I8" s="15">
        <v>111000</v>
      </c>
      <c r="J8" s="3" t="s">
        <v>11</v>
      </c>
      <c r="K8" s="15">
        <v>33.946343574210204</v>
      </c>
    </row>
    <row r="9" spans="1:11" x14ac:dyDescent="0.2">
      <c r="A9" t="s">
        <v>9</v>
      </c>
      <c r="B9" t="s">
        <v>6</v>
      </c>
      <c r="C9">
        <v>9306</v>
      </c>
      <c r="D9">
        <v>51.5</v>
      </c>
      <c r="E9" s="8">
        <v>33.849129593810403</v>
      </c>
      <c r="J9" s="2" t="s">
        <v>6</v>
      </c>
      <c r="K9" s="15">
        <v>200.6723370462463</v>
      </c>
    </row>
    <row r="10" spans="1:11" x14ac:dyDescent="0.2">
      <c r="A10" t="s">
        <v>10</v>
      </c>
      <c r="B10" t="s">
        <v>5</v>
      </c>
      <c r="C10">
        <v>9224</v>
      </c>
      <c r="D10">
        <v>52.1</v>
      </c>
      <c r="E10" s="8">
        <v>32.6973113616652</v>
      </c>
      <c r="J10" s="3" t="s">
        <v>4</v>
      </c>
      <c r="K10" s="15">
        <v>34.465599307658998</v>
      </c>
    </row>
    <row r="11" spans="1:11" x14ac:dyDescent="0.2">
      <c r="A11" t="s">
        <v>10</v>
      </c>
      <c r="B11" t="s">
        <v>6</v>
      </c>
      <c r="C11">
        <v>9266</v>
      </c>
      <c r="D11">
        <v>51.3</v>
      </c>
      <c r="E11" s="8">
        <v>32.462767105547101</v>
      </c>
      <c r="J11" s="3" t="s">
        <v>7</v>
      </c>
      <c r="K11" s="15">
        <v>32.707253886010299</v>
      </c>
    </row>
    <row r="12" spans="1:11" x14ac:dyDescent="0.2">
      <c r="A12" t="s">
        <v>11</v>
      </c>
      <c r="B12" t="s">
        <v>5</v>
      </c>
      <c r="C12">
        <v>9244</v>
      </c>
      <c r="D12">
        <v>51.4</v>
      </c>
      <c r="E12" s="8">
        <v>33.946343574210204</v>
      </c>
      <c r="J12" s="3" t="s">
        <v>8</v>
      </c>
      <c r="K12" s="15">
        <v>33.2756756756756</v>
      </c>
    </row>
    <row r="13" spans="1:11" x14ac:dyDescent="0.2">
      <c r="A13" t="s">
        <v>11</v>
      </c>
      <c r="B13" t="s">
        <v>6</v>
      </c>
      <c r="C13">
        <v>9218</v>
      </c>
      <c r="D13">
        <f>51.1</f>
        <v>51.1</v>
      </c>
      <c r="E13" s="8">
        <v>33.911911477543903</v>
      </c>
      <c r="J13" s="3" t="s">
        <v>9</v>
      </c>
      <c r="K13" s="15">
        <v>33.849129593810403</v>
      </c>
    </row>
    <row r="14" spans="1:11" x14ac:dyDescent="0.2">
      <c r="J14" s="3" t="s">
        <v>10</v>
      </c>
      <c r="K14" s="15">
        <v>32.462767105547101</v>
      </c>
    </row>
    <row r="15" spans="1:11" x14ac:dyDescent="0.2">
      <c r="J15" s="3" t="s">
        <v>11</v>
      </c>
      <c r="K15" s="15">
        <v>33.911911477543903</v>
      </c>
    </row>
    <row r="16" spans="1:11" x14ac:dyDescent="0.2">
      <c r="J16" s="2" t="s">
        <v>13</v>
      </c>
      <c r="K16" s="15">
        <v>402.72894803991852</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AverageInsuranceCost</vt:lpstr>
      <vt:lpstr>MedicalCondtions</vt:lpstr>
      <vt:lpstr>insuravgcost</vt:lpstr>
      <vt:lpstr>medcodresults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Keila Wilson (Student)</dc:creator>
  <cp:lastModifiedBy>Keila Wilson (Student)</cp:lastModifiedBy>
  <dcterms:created xsi:type="dcterms:W3CDTF">2026-04-09T03:38:35Z</dcterms:created>
  <dcterms:modified xsi:type="dcterms:W3CDTF">2026-04-14T03:19:04Z</dcterms:modified>
</cp:coreProperties>
</file>